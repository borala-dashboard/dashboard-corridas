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0671bae645fde9/Área de Trabalho/"/>
    </mc:Choice>
  </mc:AlternateContent>
  <xr:revisionPtr revIDLastSave="1359" documentId="8_{5503DD76-F756-4F96-AAAE-620C9F79C7F8}" xr6:coauthVersionLast="47" xr6:coauthVersionMax="47" xr10:uidLastSave="{A3D10B63-0A29-41AC-8E22-926139457383}"/>
  <bookViews>
    <workbookView xWindow="28680" yWindow="-120" windowWidth="16440" windowHeight="28320" activeTab="2" xr2:uid="{8F8BDB64-66CC-4969-A0BB-FD0A31DBB5EF}"/>
  </bookViews>
  <sheets>
    <sheet name="novembro25" sheetId="1" r:id="rId1"/>
    <sheet name="dezembro25" sheetId="2" r:id="rId2"/>
    <sheet name="janeiro26" sheetId="3" r:id="rId3"/>
    <sheet name="fevereiro2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3" l="1"/>
  <c r="L36" i="3"/>
  <c r="M36" i="3"/>
  <c r="N36" i="3"/>
  <c r="O36" i="3"/>
  <c r="K36" i="3"/>
  <c r="G35" i="3"/>
  <c r="G8" i="3"/>
  <c r="M4" i="4"/>
  <c r="N4" i="4"/>
  <c r="P4" i="4"/>
  <c r="M5" i="4"/>
  <c r="N5" i="4"/>
  <c r="P5" i="4"/>
  <c r="M6" i="4"/>
  <c r="N6" i="4"/>
  <c r="P6" i="4"/>
  <c r="M7" i="4"/>
  <c r="N7" i="4"/>
  <c r="P7" i="4"/>
  <c r="M8" i="4"/>
  <c r="N8" i="4"/>
  <c r="P8" i="4"/>
  <c r="M9" i="4"/>
  <c r="N9" i="4"/>
  <c r="P9" i="4"/>
  <c r="M10" i="4"/>
  <c r="N10" i="4"/>
  <c r="P10" i="4"/>
  <c r="M11" i="4"/>
  <c r="N11" i="4"/>
  <c r="P11" i="4"/>
  <c r="M12" i="4"/>
  <c r="N12" i="4"/>
  <c r="P12" i="4" s="1"/>
  <c r="M13" i="4"/>
  <c r="N13" i="4"/>
  <c r="P13" i="4"/>
  <c r="M14" i="4"/>
  <c r="N14" i="4"/>
  <c r="P14" i="4"/>
  <c r="M15" i="4"/>
  <c r="N15" i="4"/>
  <c r="P15" i="4"/>
  <c r="M16" i="4"/>
  <c r="N16" i="4"/>
  <c r="P16" i="4"/>
  <c r="M17" i="4"/>
  <c r="N17" i="4"/>
  <c r="P17" i="4"/>
  <c r="M18" i="4"/>
  <c r="N18" i="4"/>
  <c r="P18" i="4"/>
  <c r="M19" i="4"/>
  <c r="N19" i="4"/>
  <c r="P19" i="4"/>
  <c r="M20" i="4"/>
  <c r="N20" i="4"/>
  <c r="P20" i="4"/>
  <c r="M21" i="4"/>
  <c r="N21" i="4"/>
  <c r="P21" i="4"/>
  <c r="M22" i="4"/>
  <c r="N22" i="4"/>
  <c r="P22" i="4"/>
  <c r="M23" i="4"/>
  <c r="N23" i="4"/>
  <c r="P23" i="4"/>
  <c r="M24" i="4"/>
  <c r="N24" i="4"/>
  <c r="P24" i="4"/>
  <c r="M25" i="4"/>
  <c r="N25" i="4"/>
  <c r="P25" i="4"/>
  <c r="M26" i="4"/>
  <c r="N26" i="4"/>
  <c r="P26" i="4"/>
  <c r="M27" i="4"/>
  <c r="N27" i="4"/>
  <c r="P27" i="4"/>
  <c r="M28" i="4"/>
  <c r="N28" i="4"/>
  <c r="P28" i="4"/>
  <c r="M29" i="4"/>
  <c r="N29" i="4"/>
  <c r="P29" i="4"/>
  <c r="M30" i="4"/>
  <c r="N30" i="4"/>
  <c r="P30" i="4"/>
  <c r="M31" i="4"/>
  <c r="N31" i="4"/>
  <c r="P31" i="4"/>
  <c r="M32" i="4"/>
  <c r="N32" i="4"/>
  <c r="P32" i="4"/>
  <c r="M33" i="4"/>
  <c r="N33" i="4"/>
  <c r="P33" i="4"/>
  <c r="M34" i="4"/>
  <c r="N34" i="4"/>
  <c r="P34" i="4"/>
  <c r="C35" i="4"/>
  <c r="D35" i="4"/>
  <c r="E35" i="4"/>
  <c r="F35" i="4"/>
  <c r="G35" i="4"/>
  <c r="K35" i="4"/>
  <c r="K36" i="4" s="1"/>
  <c r="L35" i="4"/>
  <c r="M35" i="4"/>
  <c r="N35" i="4" s="1"/>
  <c r="N36" i="4" s="1"/>
  <c r="O35" i="4"/>
  <c r="P35" i="4"/>
  <c r="D36" i="4"/>
  <c r="E36" i="4"/>
  <c r="L36" i="4"/>
  <c r="M36" i="4"/>
  <c r="O36" i="4"/>
  <c r="P36" i="4"/>
  <c r="M8" i="3"/>
  <c r="N8" i="3"/>
  <c r="P8" i="3" s="1"/>
  <c r="M9" i="3"/>
  <c r="N9" i="3" s="1"/>
  <c r="M10" i="3"/>
  <c r="N10" i="3" s="1"/>
  <c r="G5" i="3"/>
  <c r="G6" i="3" s="1"/>
  <c r="G7" i="3" s="1"/>
  <c r="M34" i="3"/>
  <c r="N34" i="3" s="1"/>
  <c r="M33" i="3"/>
  <c r="N33" i="3" s="1"/>
  <c r="M32" i="3"/>
  <c r="N32" i="3" s="1"/>
  <c r="M31" i="3"/>
  <c r="N31" i="3" s="1"/>
  <c r="M30" i="3"/>
  <c r="N30" i="3" s="1"/>
  <c r="M29" i="3"/>
  <c r="N29" i="3" s="1"/>
  <c r="M28" i="3"/>
  <c r="N28" i="3" s="1"/>
  <c r="M27" i="3"/>
  <c r="N27" i="3" s="1"/>
  <c r="M26" i="3"/>
  <c r="N26" i="3" s="1"/>
  <c r="M25" i="3"/>
  <c r="N25" i="3" s="1"/>
  <c r="M24" i="3"/>
  <c r="N24" i="3" s="1"/>
  <c r="M23" i="3"/>
  <c r="N23" i="3" s="1"/>
  <c r="M22" i="3"/>
  <c r="N22" i="3" s="1"/>
  <c r="M21" i="3"/>
  <c r="N21" i="3" s="1"/>
  <c r="M20" i="3"/>
  <c r="N20" i="3" s="1"/>
  <c r="M19" i="3"/>
  <c r="N19" i="3" s="1"/>
  <c r="M18" i="3"/>
  <c r="N18" i="3" s="1"/>
  <c r="M17" i="3"/>
  <c r="N17" i="3" s="1"/>
  <c r="M16" i="3"/>
  <c r="N16" i="3" s="1"/>
  <c r="M15" i="3"/>
  <c r="N15" i="3" s="1"/>
  <c r="M14" i="3"/>
  <c r="N14" i="3" s="1"/>
  <c r="M13" i="3"/>
  <c r="N13" i="3" s="1"/>
  <c r="M12" i="3"/>
  <c r="N12" i="3" s="1"/>
  <c r="M11" i="3"/>
  <c r="N11" i="3" s="1"/>
  <c r="M7" i="3"/>
  <c r="N7" i="3" s="1"/>
  <c r="P7" i="3" s="1"/>
  <c r="M6" i="3"/>
  <c r="N6" i="3" s="1"/>
  <c r="P6" i="3" s="1"/>
  <c r="M5" i="3"/>
  <c r="N5" i="3" s="1"/>
  <c r="P5" i="3" s="1"/>
  <c r="M4" i="3"/>
  <c r="N4" i="3" s="1"/>
  <c r="P4" i="3" s="1"/>
  <c r="M34" i="2"/>
  <c r="N34" i="2" s="1"/>
  <c r="P34" i="2" s="1"/>
  <c r="M33" i="2"/>
  <c r="N33" i="2" s="1"/>
  <c r="P33" i="2" s="1"/>
  <c r="M32" i="2"/>
  <c r="N32" i="2" s="1"/>
  <c r="P32" i="2" s="1"/>
  <c r="M31" i="2"/>
  <c r="N31" i="2" s="1"/>
  <c r="P31" i="2" s="1"/>
  <c r="M30" i="2"/>
  <c r="N30" i="2" s="1"/>
  <c r="P30" i="2" s="1"/>
  <c r="M29" i="2"/>
  <c r="N29" i="2" s="1"/>
  <c r="P29" i="2" s="1"/>
  <c r="M28" i="2"/>
  <c r="N28" i="2" s="1"/>
  <c r="P28" i="2" s="1"/>
  <c r="M27" i="2"/>
  <c r="N27" i="2" s="1"/>
  <c r="P27" i="2" s="1"/>
  <c r="M26" i="2"/>
  <c r="N26" i="2" s="1"/>
  <c r="P26" i="2" s="1"/>
  <c r="M25" i="2"/>
  <c r="N25" i="2" s="1"/>
  <c r="P25" i="2" s="1"/>
  <c r="M24" i="2"/>
  <c r="N24" i="2" s="1"/>
  <c r="P24" i="2" s="1"/>
  <c r="M23" i="2"/>
  <c r="N23" i="2" s="1"/>
  <c r="P23" i="2" s="1"/>
  <c r="M22" i="2"/>
  <c r="N22" i="2" s="1"/>
  <c r="P22" i="2" s="1"/>
  <c r="M21" i="2"/>
  <c r="N21" i="2" s="1"/>
  <c r="P21" i="2" s="1"/>
  <c r="M20" i="2"/>
  <c r="N20" i="2" s="1"/>
  <c r="P20" i="2" s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19" i="2"/>
  <c r="N19" i="2" s="1"/>
  <c r="P19" i="2" s="1"/>
  <c r="M18" i="2"/>
  <c r="N18" i="2" s="1"/>
  <c r="P18" i="2" s="1"/>
  <c r="M17" i="2"/>
  <c r="N17" i="2" s="1"/>
  <c r="P17" i="2" s="1"/>
  <c r="M16" i="2"/>
  <c r="N16" i="2" s="1"/>
  <c r="P16" i="2" s="1"/>
  <c r="M15" i="2"/>
  <c r="N15" i="2" s="1"/>
  <c r="P15" i="2" s="1"/>
  <c r="M14" i="2"/>
  <c r="N14" i="2" s="1"/>
  <c r="P14" i="2" s="1"/>
  <c r="M13" i="2"/>
  <c r="N13" i="2" s="1"/>
  <c r="P13" i="2" s="1"/>
  <c r="M12" i="2"/>
  <c r="N12" i="2" s="1"/>
  <c r="P12" i="2" s="1"/>
  <c r="M11" i="2"/>
  <c r="N11" i="2" s="1"/>
  <c r="P11" i="2" s="1"/>
  <c r="M10" i="2"/>
  <c r="N10" i="2" s="1"/>
  <c r="P10" i="2" s="1"/>
  <c r="G5" i="2"/>
  <c r="G6" i="2" s="1"/>
  <c r="G7" i="2" s="1"/>
  <c r="G8" i="2" s="1"/>
  <c r="G9" i="2" s="1"/>
  <c r="O35" i="2"/>
  <c r="O36" i="2" s="1"/>
  <c r="L35" i="2"/>
  <c r="L36" i="2" s="1"/>
  <c r="K35" i="2"/>
  <c r="K36" i="2" s="1"/>
  <c r="F35" i="2"/>
  <c r="E35" i="2"/>
  <c r="D35" i="2"/>
  <c r="C35" i="2"/>
  <c r="M9" i="2"/>
  <c r="N9" i="2" s="1"/>
  <c r="P9" i="2" s="1"/>
  <c r="M8" i="2"/>
  <c r="N8" i="2" s="1"/>
  <c r="P8" i="2" s="1"/>
  <c r="M7" i="2"/>
  <c r="N7" i="2" s="1"/>
  <c r="P7" i="2" s="1"/>
  <c r="M6" i="2"/>
  <c r="N6" i="2" s="1"/>
  <c r="P6" i="2" s="1"/>
  <c r="M5" i="2"/>
  <c r="N5" i="2" s="1"/>
  <c r="P5" i="2" s="1"/>
  <c r="M4" i="2"/>
  <c r="N4" i="2" s="1"/>
  <c r="P4" i="2" s="1"/>
  <c r="P35" i="2" s="1"/>
  <c r="P36" i="2" s="1"/>
  <c r="P33" i="1"/>
  <c r="P32" i="1"/>
  <c r="P31" i="1"/>
  <c r="P30" i="1"/>
  <c r="P29" i="1"/>
  <c r="P28" i="1"/>
  <c r="O34" i="1"/>
  <c r="O35" i="1" s="1"/>
  <c r="P13" i="1"/>
  <c r="P12" i="1"/>
  <c r="P11" i="1"/>
  <c r="P10" i="1"/>
  <c r="P9" i="1"/>
  <c r="P8" i="1"/>
  <c r="P7" i="1"/>
  <c r="P6" i="1"/>
  <c r="P5" i="1"/>
  <c r="P4" i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P14" i="1" s="1"/>
  <c r="M15" i="1"/>
  <c r="N15" i="1" s="1"/>
  <c r="P15" i="1" s="1"/>
  <c r="M16" i="1"/>
  <c r="N16" i="1" s="1"/>
  <c r="P16" i="1" s="1"/>
  <c r="M17" i="1"/>
  <c r="N17" i="1" s="1"/>
  <c r="P17" i="1" s="1"/>
  <c r="M18" i="1"/>
  <c r="N18" i="1" s="1"/>
  <c r="P18" i="1" s="1"/>
  <c r="M19" i="1"/>
  <c r="N19" i="1" s="1"/>
  <c r="P19" i="1" s="1"/>
  <c r="P20" i="1"/>
  <c r="P34" i="1" s="1"/>
  <c r="P35" i="1" s="1"/>
  <c r="P21" i="1"/>
  <c r="P22" i="1"/>
  <c r="P23" i="1"/>
  <c r="P24" i="1"/>
  <c r="P25" i="1"/>
  <c r="P26" i="1"/>
  <c r="P27" i="1"/>
  <c r="M4" i="1"/>
  <c r="N4" i="1" s="1"/>
  <c r="L34" i="1"/>
  <c r="L35" i="1" s="1"/>
  <c r="K34" i="1"/>
  <c r="K35" i="1" s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D34" i="1"/>
  <c r="E34" i="1"/>
  <c r="F34" i="1"/>
  <c r="C34" i="1"/>
  <c r="G10" i="2" l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D36" i="2"/>
  <c r="E36" i="2"/>
  <c r="M35" i="2"/>
  <c r="M36" i="2" s="1"/>
  <c r="G27" i="1"/>
  <c r="G28" i="1" s="1"/>
  <c r="G29" i="1" s="1"/>
  <c r="G30" i="1" s="1"/>
  <c r="G31" i="1" s="1"/>
  <c r="G32" i="1" s="1"/>
  <c r="G33" i="1" s="1"/>
  <c r="G34" i="1" s="1"/>
  <c r="M34" i="1"/>
  <c r="M35" i="1" s="1"/>
  <c r="E35" i="1"/>
  <c r="D35" i="1"/>
  <c r="G21" i="2" l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N35" i="2"/>
  <c r="N36" i="2" s="1"/>
  <c r="N34" i="1"/>
  <c r="N35" i="1" s="1"/>
  <c r="F35" i="3" l="1"/>
  <c r="E35" i="3"/>
  <c r="D35" i="3"/>
  <c r="C35" i="3"/>
  <c r="O35" i="3"/>
  <c r="K35" i="3"/>
  <c r="L35" i="3"/>
  <c r="P35" i="3"/>
  <c r="D36" i="3" l="1"/>
  <c r="E36" i="3"/>
  <c r="M35" i="3"/>
  <c r="N35" i="3" l="1"/>
</calcChain>
</file>

<file path=xl/sharedStrings.xml><?xml version="1.0" encoding="utf-8"?>
<sst xmlns="http://schemas.openxmlformats.org/spreadsheetml/2006/main" count="105" uniqueCount="14">
  <si>
    <t>Corridas</t>
  </si>
  <si>
    <t>Finalizadas</t>
  </si>
  <si>
    <t>Canceladas</t>
  </si>
  <si>
    <t>Subtotal</t>
  </si>
  <si>
    <t>Passageiros</t>
  </si>
  <si>
    <t>Data</t>
  </si>
  <si>
    <t>TOTAL:</t>
  </si>
  <si>
    <t>Finalizada</t>
  </si>
  <si>
    <t>Vlr. Viagem</t>
  </si>
  <si>
    <t>Vlr. Franquia</t>
  </si>
  <si>
    <t>Vlr. Motora</t>
  </si>
  <si>
    <t>Mot. a Receber</t>
  </si>
  <si>
    <t>% pix/cartão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</si>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</sst>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9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b/>
      <sz val="14"/>
      <color rgb="FFFFFF9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Roboto"/>
    </font>
    <font>
      <b/>
      <sz val="11"/>
      <color theme="6"/>
      <name val="Arial"/>
      <family val="2"/>
    </font>
    <font>
      <b/>
      <sz val="11"/>
      <color theme="6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8" borderId="1" xfId="0" applyFill="1" applyBorder="1"/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5" borderId="1" xfId="0" applyFont="1" applyFill="1" applyBorder="1"/>
    <xf numFmtId="10" fontId="4" fillId="4" borderId="1" xfId="0" applyNumberFormat="1" applyFont="1" applyFill="1" applyBorder="1" applyAlignment="1">
      <alignment horizontal="center"/>
    </xf>
    <xf numFmtId="10" fontId="4" fillId="6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10" fontId="3" fillId="9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/>
    </xf>
    <xf numFmtId="2" fontId="6" fillId="5" borderId="1" xfId="0" applyNumberFormat="1" applyFont="1" applyFill="1" applyBorder="1" applyAlignment="1">
      <alignment horizontal="center"/>
    </xf>
    <xf numFmtId="164" fontId="2" fillId="10" borderId="1" xfId="0" applyNumberFormat="1" applyFont="1" applyFill="1" applyBorder="1" applyAlignment="1">
      <alignment horizontal="center"/>
    </xf>
    <xf numFmtId="10" fontId="6" fillId="5" borderId="1" xfId="0" applyNumberFormat="1" applyFont="1" applyFill="1" applyBorder="1" applyAlignment="1">
      <alignment horizontal="center"/>
    </xf>
    <xf numFmtId="10" fontId="7" fillId="9" borderId="1" xfId="0" applyNumberFormat="1" applyFont="1" applyFill="1" applyBorder="1" applyAlignment="1">
      <alignment horizontal="center"/>
    </xf>
    <xf numFmtId="0" fontId="0" fillId="11" borderId="0" xfId="0" applyFill="1"/>
    <xf numFmtId="0" fontId="8" fillId="0" borderId="1" xfId="0" applyFont="1" applyBorder="1" applyAlignment="1">
      <alignment horizontal="center"/>
    </xf>
    <xf numFmtId="14" fontId="3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164" fontId="3" fillId="11" borderId="1" xfId="0" applyNumberFormat="1" applyFont="1" applyFill="1" applyBorder="1" applyAlignment="1">
      <alignment horizontal="center"/>
    </xf>
    <xf numFmtId="10" fontId="3" fillId="11" borderId="1" xfId="0" applyNumberFormat="1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164" fontId="8" fillId="11" borderId="1" xfId="0" applyNumberFormat="1" applyFont="1" applyFill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3" fillId="12" borderId="1" xfId="0" applyFont="1" applyFill="1" applyBorder="1"/>
    <xf numFmtId="0" fontId="14" fillId="11" borderId="1" xfId="0" applyFont="1" applyFill="1" applyBorder="1" applyAlignment="1">
      <alignment horizontal="center"/>
    </xf>
    <xf numFmtId="0" fontId="13" fillId="0" borderId="1" xfId="0" applyFont="1" applyBorder="1"/>
    <xf numFmtId="164" fontId="0" fillId="11" borderId="1" xfId="0" applyNumberFormat="1" applyFill="1" applyBorder="1" applyAlignment="1">
      <alignment horizontal="center"/>
    </xf>
    <xf numFmtId="0" fontId="0" fillId="11" borderId="1" xfId="0" applyFill="1" applyBorder="1"/>
    <xf numFmtId="0" fontId="15" fillId="0" borderId="0" xfId="0" applyFont="1"/>
    <xf numFmtId="0" fontId="9" fillId="12" borderId="1" xfId="0" applyFont="1" applyFill="1" applyBorder="1" applyAlignment="1">
      <alignment horizontal="center"/>
    </xf>
    <xf numFmtId="16" fontId="9" fillId="12" borderId="1" xfId="0" applyNumberFormat="1" applyFont="1" applyFill="1" applyBorder="1" applyAlignment="1">
      <alignment horizontal="center"/>
    </xf>
    <xf numFmtId="164" fontId="11" fillId="11" borderId="1" xfId="0" applyNumberFormat="1" applyFont="1" applyFill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164" fontId="17" fillId="11" borderId="1" xfId="0" applyNumberFormat="1" applyFont="1" applyFill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2F73-6571-429D-B27E-6CB67943996D}">
  <dimension ref="B2:P36"/>
  <sheetViews>
    <sheetView zoomScale="115" zoomScaleNormal="115" workbookViewId="0">
      <selection activeCell="J3" sqref="J3"/>
    </sheetView>
  </sheetViews>
  <sheetFormatPr defaultRowHeight="15" x14ac:dyDescent="0.25"/>
  <cols>
    <col min="2" max="7" width="14.5703125" customWidth="1"/>
    <col min="10" max="11" width="14.7109375" customWidth="1"/>
    <col min="12" max="12" width="16.28515625" customWidth="1"/>
    <col min="13" max="13" width="14.7109375" customWidth="1"/>
    <col min="14" max="14" width="15.5703125" customWidth="1"/>
    <col min="15" max="16" width="17.5703125" customWidth="1"/>
    <col min="18" max="18" width="9.140625" customWidth="1"/>
  </cols>
  <sheetData>
    <row r="2" spans="2:16" x14ac:dyDescent="0.25">
      <c r="B2" s="1"/>
      <c r="C2" s="1"/>
      <c r="D2" s="1"/>
      <c r="E2" s="1"/>
      <c r="F2" s="1"/>
      <c r="G2" s="1"/>
    </row>
    <row r="3" spans="2:16" ht="18.75" x14ac:dyDescent="0.3">
      <c r="B3" s="13" t="s">
        <v>5</v>
      </c>
      <c r="C3" s="14" t="s">
        <v>0</v>
      </c>
      <c r="D3" s="15" t="s">
        <v>1</v>
      </c>
      <c r="E3" s="16" t="s">
        <v>2</v>
      </c>
      <c r="F3" s="17" t="s">
        <v>4</v>
      </c>
      <c r="G3" s="13" t="s">
        <v>3</v>
      </c>
      <c r="J3" s="13" t="s">
        <v>5</v>
      </c>
      <c r="K3" s="14" t="s">
        <v>7</v>
      </c>
      <c r="L3" s="15" t="s">
        <v>8</v>
      </c>
      <c r="M3" s="16" t="s">
        <v>9</v>
      </c>
      <c r="N3" s="17" t="s">
        <v>10</v>
      </c>
      <c r="O3" s="33" t="s">
        <v>11</v>
      </c>
      <c r="P3" s="31" t="s">
        <v>12</v>
      </c>
    </row>
    <row r="4" spans="2:16" ht="18.75" x14ac:dyDescent="0.3">
      <c r="B4" s="18">
        <v>45962</v>
      </c>
      <c r="C4" s="19">
        <v>26</v>
      </c>
      <c r="D4" s="20">
        <v>4</v>
      </c>
      <c r="E4" s="21">
        <v>22</v>
      </c>
      <c r="F4" s="22">
        <v>54</v>
      </c>
      <c r="G4" s="23">
        <v>353</v>
      </c>
      <c r="J4" s="18">
        <v>45962</v>
      </c>
      <c r="K4" s="19">
        <v>4</v>
      </c>
      <c r="L4" s="25">
        <v>67.95</v>
      </c>
      <c r="M4" s="26">
        <f>ROUND(10% * L4, 2)</f>
        <v>6.8</v>
      </c>
      <c r="N4" s="27">
        <f>VALUE(L4) - VALUE(M4)</f>
        <v>61.150000000000006</v>
      </c>
      <c r="O4" s="34">
        <v>36.58</v>
      </c>
      <c r="P4" s="32">
        <f t="shared" ref="P4:P13" si="0">ROUND(O4 / N4, 4)</f>
        <v>0.59819999999999995</v>
      </c>
    </row>
    <row r="5" spans="2:16" ht="18.75" x14ac:dyDescent="0.3">
      <c r="B5" s="18">
        <v>45963</v>
      </c>
      <c r="C5" s="19">
        <v>16</v>
      </c>
      <c r="D5" s="20">
        <v>4</v>
      </c>
      <c r="E5" s="21">
        <v>12</v>
      </c>
      <c r="F5" s="22">
        <v>43</v>
      </c>
      <c r="G5" s="23">
        <f>F5+G4</f>
        <v>396</v>
      </c>
      <c r="J5" s="18">
        <v>45963</v>
      </c>
      <c r="K5" s="19">
        <v>4</v>
      </c>
      <c r="L5" s="25">
        <v>65.209999999999994</v>
      </c>
      <c r="M5" s="26">
        <f t="shared" ref="M5:M34" si="1">ROUND(10% * L5, 2)</f>
        <v>6.52</v>
      </c>
      <c r="N5" s="27">
        <f t="shared" ref="N5:N34" si="2">VALUE(L5) - VALUE(M5)</f>
        <v>58.69</v>
      </c>
      <c r="O5" s="34">
        <v>10.039999999999999</v>
      </c>
      <c r="P5" s="32">
        <f t="shared" si="0"/>
        <v>0.1711</v>
      </c>
    </row>
    <row r="6" spans="2:16" ht="18.75" x14ac:dyDescent="0.3">
      <c r="B6" s="18">
        <v>45964</v>
      </c>
      <c r="C6" s="19">
        <v>34</v>
      </c>
      <c r="D6" s="20">
        <v>15</v>
      </c>
      <c r="E6" s="21">
        <v>19</v>
      </c>
      <c r="F6" s="22">
        <v>44</v>
      </c>
      <c r="G6" s="23">
        <f t="shared" ref="G6:G33" si="3">F6+G5</f>
        <v>440</v>
      </c>
      <c r="J6" s="18">
        <v>45964</v>
      </c>
      <c r="K6" s="19">
        <v>15</v>
      </c>
      <c r="L6" s="25">
        <v>360.49</v>
      </c>
      <c r="M6" s="26">
        <f t="shared" si="1"/>
        <v>36.049999999999997</v>
      </c>
      <c r="N6" s="27">
        <f t="shared" si="2"/>
        <v>324.44</v>
      </c>
      <c r="O6" s="34">
        <v>71.53</v>
      </c>
      <c r="P6" s="32">
        <f t="shared" si="0"/>
        <v>0.2205</v>
      </c>
    </row>
    <row r="7" spans="2:16" ht="18.75" x14ac:dyDescent="0.3">
      <c r="B7" s="18">
        <v>45965</v>
      </c>
      <c r="C7" s="19">
        <v>23</v>
      </c>
      <c r="D7" s="20">
        <v>7</v>
      </c>
      <c r="E7" s="21">
        <v>16</v>
      </c>
      <c r="F7" s="22">
        <v>52</v>
      </c>
      <c r="G7" s="23">
        <f t="shared" si="3"/>
        <v>492</v>
      </c>
      <c r="J7" s="18">
        <v>45965</v>
      </c>
      <c r="K7" s="19">
        <v>7</v>
      </c>
      <c r="L7" s="25">
        <v>159.58000000000001</v>
      </c>
      <c r="M7" s="26">
        <f t="shared" si="1"/>
        <v>15.96</v>
      </c>
      <c r="N7" s="27">
        <f t="shared" si="2"/>
        <v>143.62</v>
      </c>
      <c r="O7" s="34">
        <v>24.76</v>
      </c>
      <c r="P7" s="32">
        <f t="shared" si="0"/>
        <v>0.1724</v>
      </c>
    </row>
    <row r="8" spans="2:16" ht="18.75" x14ac:dyDescent="0.3">
      <c r="B8" s="18">
        <v>45966</v>
      </c>
      <c r="C8" s="19">
        <v>37</v>
      </c>
      <c r="D8" s="20">
        <v>17</v>
      </c>
      <c r="E8" s="21">
        <v>20</v>
      </c>
      <c r="F8" s="22">
        <v>46</v>
      </c>
      <c r="G8" s="23">
        <f t="shared" si="3"/>
        <v>538</v>
      </c>
      <c r="J8" s="18">
        <v>45966</v>
      </c>
      <c r="K8" s="19">
        <v>17</v>
      </c>
      <c r="L8" s="25">
        <v>330</v>
      </c>
      <c r="M8" s="26">
        <f t="shared" si="1"/>
        <v>33</v>
      </c>
      <c r="N8" s="27">
        <f t="shared" si="2"/>
        <v>297</v>
      </c>
      <c r="O8" s="34">
        <v>46.97</v>
      </c>
      <c r="P8" s="32">
        <f t="shared" si="0"/>
        <v>0.15809999999999999</v>
      </c>
    </row>
    <row r="9" spans="2:16" ht="18.75" x14ac:dyDescent="0.3">
      <c r="B9" s="18">
        <v>45967</v>
      </c>
      <c r="C9" s="19">
        <v>56</v>
      </c>
      <c r="D9" s="20">
        <v>16</v>
      </c>
      <c r="E9" s="21">
        <v>40</v>
      </c>
      <c r="F9" s="22">
        <v>74</v>
      </c>
      <c r="G9" s="23">
        <f t="shared" si="3"/>
        <v>612</v>
      </c>
      <c r="J9" s="18">
        <v>45967</v>
      </c>
      <c r="K9" s="19">
        <v>16</v>
      </c>
      <c r="L9" s="25">
        <v>348.13</v>
      </c>
      <c r="M9" s="26">
        <f t="shared" si="1"/>
        <v>34.81</v>
      </c>
      <c r="N9" s="27">
        <f t="shared" si="2"/>
        <v>313.32</v>
      </c>
      <c r="O9" s="34">
        <v>130.21</v>
      </c>
      <c r="P9" s="32">
        <f t="shared" si="0"/>
        <v>0.41560000000000002</v>
      </c>
    </row>
    <row r="10" spans="2:16" ht="18.75" x14ac:dyDescent="0.3">
      <c r="B10" s="18">
        <v>45968</v>
      </c>
      <c r="C10" s="19">
        <v>53</v>
      </c>
      <c r="D10" s="20">
        <v>23</v>
      </c>
      <c r="E10" s="21">
        <v>30</v>
      </c>
      <c r="F10" s="22">
        <v>76</v>
      </c>
      <c r="G10" s="23">
        <f t="shared" si="3"/>
        <v>688</v>
      </c>
      <c r="J10" s="18">
        <v>45968</v>
      </c>
      <c r="K10" s="19">
        <v>23</v>
      </c>
      <c r="L10" s="25">
        <v>548.36</v>
      </c>
      <c r="M10" s="26">
        <f t="shared" si="1"/>
        <v>54.84</v>
      </c>
      <c r="N10" s="27">
        <f t="shared" si="2"/>
        <v>493.52</v>
      </c>
      <c r="O10" s="34">
        <v>128.43</v>
      </c>
      <c r="P10" s="32">
        <f t="shared" si="0"/>
        <v>0.26019999999999999</v>
      </c>
    </row>
    <row r="11" spans="2:16" ht="18.75" x14ac:dyDescent="0.3">
      <c r="B11" s="18">
        <v>45969</v>
      </c>
      <c r="C11" s="19">
        <v>52</v>
      </c>
      <c r="D11" s="20">
        <v>20</v>
      </c>
      <c r="E11" s="21">
        <v>32</v>
      </c>
      <c r="F11" s="22">
        <v>49</v>
      </c>
      <c r="G11" s="23">
        <f t="shared" si="3"/>
        <v>737</v>
      </c>
      <c r="J11" s="18">
        <v>45969</v>
      </c>
      <c r="K11" s="19">
        <v>20</v>
      </c>
      <c r="L11" s="25">
        <v>346.46</v>
      </c>
      <c r="M11" s="26">
        <f t="shared" si="1"/>
        <v>34.65</v>
      </c>
      <c r="N11" s="27">
        <f t="shared" si="2"/>
        <v>311.81</v>
      </c>
      <c r="O11" s="34">
        <v>56.67</v>
      </c>
      <c r="P11" s="32">
        <f t="shared" si="0"/>
        <v>0.1817</v>
      </c>
    </row>
    <row r="12" spans="2:16" ht="18.75" x14ac:dyDescent="0.3">
      <c r="B12" s="18">
        <v>45970</v>
      </c>
      <c r="C12" s="19">
        <v>33</v>
      </c>
      <c r="D12" s="20">
        <v>8</v>
      </c>
      <c r="E12" s="21">
        <v>25</v>
      </c>
      <c r="F12" s="22">
        <v>38</v>
      </c>
      <c r="G12" s="23">
        <f t="shared" si="3"/>
        <v>775</v>
      </c>
      <c r="J12" s="18">
        <v>45970</v>
      </c>
      <c r="K12" s="19">
        <v>8</v>
      </c>
      <c r="L12" s="25">
        <v>174.53</v>
      </c>
      <c r="M12" s="26">
        <f t="shared" si="1"/>
        <v>17.45</v>
      </c>
      <c r="N12" s="27">
        <f t="shared" si="2"/>
        <v>157.08000000000001</v>
      </c>
      <c r="O12" s="34">
        <v>27.35</v>
      </c>
      <c r="P12" s="32">
        <f t="shared" si="0"/>
        <v>0.1741</v>
      </c>
    </row>
    <row r="13" spans="2:16" ht="18.75" x14ac:dyDescent="0.3">
      <c r="B13" s="18">
        <v>45971</v>
      </c>
      <c r="C13" s="19">
        <v>49</v>
      </c>
      <c r="D13" s="20">
        <v>20</v>
      </c>
      <c r="E13" s="21">
        <v>29</v>
      </c>
      <c r="F13" s="22">
        <v>47</v>
      </c>
      <c r="G13" s="23">
        <f t="shared" si="3"/>
        <v>822</v>
      </c>
      <c r="J13" s="18">
        <v>45971</v>
      </c>
      <c r="K13" s="19">
        <v>20</v>
      </c>
      <c r="L13" s="25">
        <v>554.35</v>
      </c>
      <c r="M13" s="26">
        <f t="shared" si="1"/>
        <v>55.44</v>
      </c>
      <c r="N13" s="27">
        <f t="shared" si="2"/>
        <v>498.91</v>
      </c>
      <c r="O13" s="34">
        <v>78.23</v>
      </c>
      <c r="P13" s="32">
        <f t="shared" si="0"/>
        <v>0.15679999999999999</v>
      </c>
    </row>
    <row r="14" spans="2:16" ht="18.75" x14ac:dyDescent="0.3">
      <c r="B14" s="18">
        <v>45972</v>
      </c>
      <c r="C14" s="19">
        <v>39</v>
      </c>
      <c r="D14" s="20">
        <v>22</v>
      </c>
      <c r="E14" s="21">
        <v>17</v>
      </c>
      <c r="F14" s="22">
        <v>58</v>
      </c>
      <c r="G14" s="23">
        <f t="shared" si="3"/>
        <v>880</v>
      </c>
      <c r="J14" s="18">
        <v>45972</v>
      </c>
      <c r="K14" s="19">
        <v>22</v>
      </c>
      <c r="L14" s="25">
        <v>433.51</v>
      </c>
      <c r="M14" s="26">
        <f t="shared" si="1"/>
        <v>43.35</v>
      </c>
      <c r="N14" s="27">
        <f t="shared" si="2"/>
        <v>390.15999999999997</v>
      </c>
      <c r="O14" s="34">
        <v>70.87</v>
      </c>
      <c r="P14" s="32">
        <f t="shared" ref="P14:P33" si="4">ROUND(O14 / N14, 4)</f>
        <v>0.18160000000000001</v>
      </c>
    </row>
    <row r="15" spans="2:16" ht="18.75" x14ac:dyDescent="0.3">
      <c r="B15" s="18">
        <v>45973</v>
      </c>
      <c r="C15" s="19">
        <v>40</v>
      </c>
      <c r="D15" s="20">
        <v>26</v>
      </c>
      <c r="E15" s="21">
        <v>14</v>
      </c>
      <c r="F15" s="22">
        <v>38</v>
      </c>
      <c r="G15" s="23">
        <f t="shared" si="3"/>
        <v>918</v>
      </c>
      <c r="J15" s="18">
        <v>45973</v>
      </c>
      <c r="K15" s="19">
        <v>26</v>
      </c>
      <c r="L15" s="25">
        <v>602.62</v>
      </c>
      <c r="M15" s="26">
        <f t="shared" si="1"/>
        <v>60.26</v>
      </c>
      <c r="N15" s="27">
        <f t="shared" si="2"/>
        <v>542.36</v>
      </c>
      <c r="O15" s="34">
        <v>147.36000000000001</v>
      </c>
      <c r="P15" s="32">
        <f t="shared" si="4"/>
        <v>0.2717</v>
      </c>
    </row>
    <row r="16" spans="2:16" ht="18.75" x14ac:dyDescent="0.3">
      <c r="B16" s="18">
        <v>45974</v>
      </c>
      <c r="C16" s="19">
        <v>50</v>
      </c>
      <c r="D16" s="20">
        <v>27</v>
      </c>
      <c r="E16" s="21">
        <v>23</v>
      </c>
      <c r="F16" s="22">
        <v>44</v>
      </c>
      <c r="G16" s="23">
        <f t="shared" si="3"/>
        <v>962</v>
      </c>
      <c r="J16" s="18">
        <v>45974</v>
      </c>
      <c r="K16" s="19">
        <v>27</v>
      </c>
      <c r="L16" s="25">
        <v>614.78</v>
      </c>
      <c r="M16" s="26">
        <f t="shared" si="1"/>
        <v>61.48</v>
      </c>
      <c r="N16" s="27">
        <f t="shared" si="2"/>
        <v>553.29999999999995</v>
      </c>
      <c r="O16" s="34">
        <v>192.39</v>
      </c>
      <c r="P16" s="32">
        <f t="shared" si="4"/>
        <v>0.34770000000000001</v>
      </c>
    </row>
    <row r="17" spans="2:16" ht="18.75" x14ac:dyDescent="0.3">
      <c r="B17" s="18">
        <v>45975</v>
      </c>
      <c r="C17" s="19">
        <v>87</v>
      </c>
      <c r="D17" s="20">
        <v>36</v>
      </c>
      <c r="E17" s="21">
        <v>51</v>
      </c>
      <c r="F17" s="22">
        <v>65</v>
      </c>
      <c r="G17" s="23">
        <f t="shared" si="3"/>
        <v>1027</v>
      </c>
      <c r="J17" s="18">
        <v>45975</v>
      </c>
      <c r="K17" s="19">
        <v>36</v>
      </c>
      <c r="L17" s="25">
        <v>964.19</v>
      </c>
      <c r="M17" s="26">
        <f t="shared" si="1"/>
        <v>96.42</v>
      </c>
      <c r="N17" s="27">
        <f t="shared" si="2"/>
        <v>867.7700000000001</v>
      </c>
      <c r="O17" s="34">
        <v>158.84</v>
      </c>
      <c r="P17" s="32">
        <f t="shared" si="4"/>
        <v>0.183</v>
      </c>
    </row>
    <row r="18" spans="2:16" ht="18.75" x14ac:dyDescent="0.3">
      <c r="B18" s="18">
        <v>45976</v>
      </c>
      <c r="C18" s="19">
        <v>53</v>
      </c>
      <c r="D18" s="20">
        <v>20</v>
      </c>
      <c r="E18" s="21">
        <v>33</v>
      </c>
      <c r="F18" s="22">
        <v>39</v>
      </c>
      <c r="G18" s="23">
        <f t="shared" si="3"/>
        <v>1066</v>
      </c>
      <c r="J18" s="18">
        <v>45976</v>
      </c>
      <c r="K18" s="19">
        <v>20</v>
      </c>
      <c r="L18" s="25">
        <v>372.89</v>
      </c>
      <c r="M18" s="26">
        <f t="shared" si="1"/>
        <v>37.29</v>
      </c>
      <c r="N18" s="27">
        <f t="shared" si="2"/>
        <v>335.59999999999997</v>
      </c>
      <c r="O18" s="34">
        <v>129.62</v>
      </c>
      <c r="P18" s="32">
        <f t="shared" si="4"/>
        <v>0.38619999999999999</v>
      </c>
    </row>
    <row r="19" spans="2:16" ht="18.75" x14ac:dyDescent="0.3">
      <c r="B19" s="18">
        <v>45977</v>
      </c>
      <c r="C19" s="19">
        <v>33</v>
      </c>
      <c r="D19" s="20">
        <v>10</v>
      </c>
      <c r="E19" s="21">
        <v>23</v>
      </c>
      <c r="F19" s="22">
        <v>39</v>
      </c>
      <c r="G19" s="23">
        <f t="shared" si="3"/>
        <v>1105</v>
      </c>
      <c r="J19" s="18">
        <v>45977</v>
      </c>
      <c r="K19" s="19">
        <v>10</v>
      </c>
      <c r="L19" s="25">
        <v>289.47000000000003</v>
      </c>
      <c r="M19" s="26">
        <f t="shared" si="1"/>
        <v>28.95</v>
      </c>
      <c r="N19" s="27">
        <f t="shared" si="2"/>
        <v>260.52000000000004</v>
      </c>
      <c r="O19" s="34">
        <v>55.3</v>
      </c>
      <c r="P19" s="32">
        <f t="shared" si="4"/>
        <v>0.21229999999999999</v>
      </c>
    </row>
    <row r="20" spans="2:16" ht="18.75" x14ac:dyDescent="0.3">
      <c r="B20" s="18">
        <v>45978</v>
      </c>
      <c r="C20" s="19">
        <v>65</v>
      </c>
      <c r="D20" s="20">
        <v>24</v>
      </c>
      <c r="E20" s="21">
        <v>41</v>
      </c>
      <c r="F20" s="22">
        <v>60</v>
      </c>
      <c r="G20" s="23">
        <f t="shared" si="3"/>
        <v>1165</v>
      </c>
      <c r="J20" s="18">
        <v>45978</v>
      </c>
      <c r="K20" s="19">
        <v>24</v>
      </c>
      <c r="L20" s="25">
        <v>663.16</v>
      </c>
      <c r="M20" s="26">
        <f t="shared" si="1"/>
        <v>66.319999999999993</v>
      </c>
      <c r="N20" s="27">
        <f t="shared" si="2"/>
        <v>596.83999999999992</v>
      </c>
      <c r="O20" s="34">
        <v>70.819999999999993</v>
      </c>
      <c r="P20" s="32">
        <f t="shared" si="4"/>
        <v>0.1187</v>
      </c>
    </row>
    <row r="21" spans="2:16" ht="18.75" x14ac:dyDescent="0.3">
      <c r="B21" s="18">
        <v>45979</v>
      </c>
      <c r="C21" s="19">
        <v>70</v>
      </c>
      <c r="D21" s="20">
        <v>17</v>
      </c>
      <c r="E21" s="21">
        <v>53</v>
      </c>
      <c r="F21" s="22">
        <v>36</v>
      </c>
      <c r="G21" s="23">
        <f t="shared" si="3"/>
        <v>1201</v>
      </c>
      <c r="J21" s="18">
        <v>45979</v>
      </c>
      <c r="K21" s="19">
        <v>17</v>
      </c>
      <c r="L21" s="25">
        <v>361.07</v>
      </c>
      <c r="M21" s="26">
        <f t="shared" si="1"/>
        <v>36.11</v>
      </c>
      <c r="N21" s="27">
        <f t="shared" si="2"/>
        <v>324.95999999999998</v>
      </c>
      <c r="O21" s="34">
        <v>84.48</v>
      </c>
      <c r="P21" s="32">
        <f t="shared" si="4"/>
        <v>0.26</v>
      </c>
    </row>
    <row r="22" spans="2:16" ht="18.75" x14ac:dyDescent="0.3">
      <c r="B22" s="18">
        <v>45980</v>
      </c>
      <c r="C22" s="19">
        <v>83</v>
      </c>
      <c r="D22" s="20">
        <v>39</v>
      </c>
      <c r="E22" s="21">
        <v>44</v>
      </c>
      <c r="F22" s="22">
        <v>46</v>
      </c>
      <c r="G22" s="23">
        <f t="shared" si="3"/>
        <v>1247</v>
      </c>
      <c r="J22" s="18">
        <v>45980</v>
      </c>
      <c r="K22" s="19">
        <v>39</v>
      </c>
      <c r="L22" s="25">
        <v>947.02</v>
      </c>
      <c r="M22" s="26">
        <f t="shared" si="1"/>
        <v>94.7</v>
      </c>
      <c r="N22" s="27">
        <f t="shared" si="2"/>
        <v>852.31999999999994</v>
      </c>
      <c r="O22" s="34">
        <v>276.42</v>
      </c>
      <c r="P22" s="32">
        <f t="shared" si="4"/>
        <v>0.32429999999999998</v>
      </c>
    </row>
    <row r="23" spans="2:16" ht="18.75" x14ac:dyDescent="0.3">
      <c r="B23" s="18">
        <v>45981</v>
      </c>
      <c r="C23" s="19">
        <v>48</v>
      </c>
      <c r="D23" s="20">
        <v>25</v>
      </c>
      <c r="E23" s="21">
        <v>23</v>
      </c>
      <c r="F23" s="22">
        <v>32</v>
      </c>
      <c r="G23" s="23">
        <f t="shared" si="3"/>
        <v>1279</v>
      </c>
      <c r="J23" s="18">
        <v>45981</v>
      </c>
      <c r="K23" s="19">
        <v>25</v>
      </c>
      <c r="L23" s="25">
        <v>595.55999999999995</v>
      </c>
      <c r="M23" s="26">
        <f t="shared" si="1"/>
        <v>59.56</v>
      </c>
      <c r="N23" s="27">
        <f t="shared" si="2"/>
        <v>536</v>
      </c>
      <c r="O23" s="34">
        <v>189.63</v>
      </c>
      <c r="P23" s="32">
        <f t="shared" si="4"/>
        <v>0.3538</v>
      </c>
    </row>
    <row r="24" spans="2:16" ht="18.75" x14ac:dyDescent="0.3">
      <c r="B24" s="18">
        <v>45982</v>
      </c>
      <c r="C24" s="19">
        <v>60</v>
      </c>
      <c r="D24" s="20">
        <v>25</v>
      </c>
      <c r="E24" s="21">
        <v>35</v>
      </c>
      <c r="F24" s="22">
        <v>30</v>
      </c>
      <c r="G24" s="23">
        <f t="shared" si="3"/>
        <v>1309</v>
      </c>
      <c r="J24" s="18">
        <v>45982</v>
      </c>
      <c r="K24" s="19">
        <v>25</v>
      </c>
      <c r="L24" s="25">
        <v>665.54</v>
      </c>
      <c r="M24" s="26">
        <f t="shared" si="1"/>
        <v>66.55</v>
      </c>
      <c r="N24" s="27">
        <f t="shared" si="2"/>
        <v>598.99</v>
      </c>
      <c r="O24" s="34">
        <v>157.31</v>
      </c>
      <c r="P24" s="32">
        <f t="shared" si="4"/>
        <v>0.2626</v>
      </c>
    </row>
    <row r="25" spans="2:16" ht="18.75" x14ac:dyDescent="0.3">
      <c r="B25" s="18">
        <v>45983</v>
      </c>
      <c r="C25" s="19">
        <v>59</v>
      </c>
      <c r="D25" s="20">
        <v>19</v>
      </c>
      <c r="E25" s="21">
        <v>40</v>
      </c>
      <c r="F25" s="22">
        <v>48</v>
      </c>
      <c r="G25" s="23">
        <f t="shared" si="3"/>
        <v>1357</v>
      </c>
      <c r="J25" s="18">
        <v>45983</v>
      </c>
      <c r="K25" s="19">
        <v>19</v>
      </c>
      <c r="L25" s="25">
        <v>412.97</v>
      </c>
      <c r="M25" s="26">
        <f>ROUND(10% * L25, 2)</f>
        <v>41.3</v>
      </c>
      <c r="N25" s="27">
        <f t="shared" si="2"/>
        <v>371.67</v>
      </c>
      <c r="O25" s="34">
        <v>11.02</v>
      </c>
      <c r="P25" s="32">
        <f t="shared" si="4"/>
        <v>2.9600000000000001E-2</v>
      </c>
    </row>
    <row r="26" spans="2:16" ht="18.75" x14ac:dyDescent="0.3">
      <c r="B26" s="18">
        <v>45984</v>
      </c>
      <c r="C26" s="19">
        <v>55</v>
      </c>
      <c r="D26" s="20">
        <v>17</v>
      </c>
      <c r="E26" s="21">
        <v>38</v>
      </c>
      <c r="F26" s="22">
        <v>26</v>
      </c>
      <c r="G26" s="23">
        <f t="shared" si="3"/>
        <v>1383</v>
      </c>
      <c r="J26" s="18">
        <v>45984</v>
      </c>
      <c r="K26" s="19">
        <v>17</v>
      </c>
      <c r="L26" s="25">
        <v>341.76</v>
      </c>
      <c r="M26" s="26">
        <f t="shared" si="1"/>
        <v>34.18</v>
      </c>
      <c r="N26" s="27">
        <f t="shared" si="2"/>
        <v>307.58</v>
      </c>
      <c r="O26" s="34">
        <v>73.83</v>
      </c>
      <c r="P26" s="32">
        <f t="shared" si="4"/>
        <v>0.24</v>
      </c>
    </row>
    <row r="27" spans="2:16" ht="18.75" x14ac:dyDescent="0.3">
      <c r="B27" s="18">
        <v>45985</v>
      </c>
      <c r="C27" s="19">
        <v>106</v>
      </c>
      <c r="D27" s="20">
        <v>41</v>
      </c>
      <c r="E27" s="21">
        <v>65</v>
      </c>
      <c r="F27" s="22">
        <v>71</v>
      </c>
      <c r="G27" s="23">
        <f t="shared" si="3"/>
        <v>1454</v>
      </c>
      <c r="J27" s="18">
        <v>45985</v>
      </c>
      <c r="K27" s="19">
        <v>41</v>
      </c>
      <c r="L27" s="25">
        <v>919.37</v>
      </c>
      <c r="M27" s="26">
        <f t="shared" si="1"/>
        <v>91.94</v>
      </c>
      <c r="N27" s="27">
        <f t="shared" si="2"/>
        <v>827.43000000000006</v>
      </c>
      <c r="O27" s="34">
        <v>21.96</v>
      </c>
      <c r="P27" s="32">
        <f t="shared" si="4"/>
        <v>2.6499999999999999E-2</v>
      </c>
    </row>
    <row r="28" spans="2:16" ht="18.75" x14ac:dyDescent="0.3">
      <c r="B28" s="18">
        <v>45986</v>
      </c>
      <c r="C28" s="19">
        <v>99</v>
      </c>
      <c r="D28" s="20">
        <v>48</v>
      </c>
      <c r="E28" s="21">
        <v>51</v>
      </c>
      <c r="F28" s="22">
        <v>53</v>
      </c>
      <c r="G28" s="23">
        <f t="shared" si="3"/>
        <v>1507</v>
      </c>
      <c r="J28" s="18">
        <v>45986</v>
      </c>
      <c r="K28" s="19">
        <v>48</v>
      </c>
      <c r="L28" s="25">
        <v>1082.45</v>
      </c>
      <c r="M28" s="26">
        <f t="shared" si="1"/>
        <v>108.25</v>
      </c>
      <c r="N28" s="27">
        <f t="shared" si="2"/>
        <v>974.2</v>
      </c>
      <c r="O28" s="34">
        <v>302.07</v>
      </c>
      <c r="P28" s="32">
        <f t="shared" si="4"/>
        <v>0.31009999999999999</v>
      </c>
    </row>
    <row r="29" spans="2:16" ht="18.75" x14ac:dyDescent="0.3">
      <c r="B29" s="18">
        <v>45987</v>
      </c>
      <c r="C29" s="19">
        <v>52</v>
      </c>
      <c r="D29" s="20">
        <v>28</v>
      </c>
      <c r="E29" s="21">
        <v>24</v>
      </c>
      <c r="F29" s="22">
        <v>32</v>
      </c>
      <c r="G29" s="23">
        <f t="shared" si="3"/>
        <v>1539</v>
      </c>
      <c r="J29" s="18">
        <v>45987</v>
      </c>
      <c r="K29" s="19">
        <v>28</v>
      </c>
      <c r="L29" s="25">
        <v>597.71</v>
      </c>
      <c r="M29" s="26">
        <f t="shared" si="1"/>
        <v>59.77</v>
      </c>
      <c r="N29" s="27">
        <f t="shared" si="2"/>
        <v>537.94000000000005</v>
      </c>
      <c r="O29" s="34">
        <v>147.58000000000001</v>
      </c>
      <c r="P29" s="32">
        <f t="shared" si="4"/>
        <v>0.27429999999999999</v>
      </c>
    </row>
    <row r="30" spans="2:16" ht="18.75" x14ac:dyDescent="0.3">
      <c r="B30" s="18">
        <v>45988</v>
      </c>
      <c r="C30" s="19">
        <v>86</v>
      </c>
      <c r="D30" s="20">
        <v>36</v>
      </c>
      <c r="E30" s="21">
        <v>50</v>
      </c>
      <c r="F30" s="22">
        <v>52</v>
      </c>
      <c r="G30" s="23">
        <f t="shared" si="3"/>
        <v>1591</v>
      </c>
      <c r="J30" s="18">
        <v>45988</v>
      </c>
      <c r="K30" s="19">
        <v>36</v>
      </c>
      <c r="L30" s="25">
        <v>740.78</v>
      </c>
      <c r="M30" s="26">
        <f t="shared" si="1"/>
        <v>74.08</v>
      </c>
      <c r="N30" s="27">
        <f t="shared" si="2"/>
        <v>666.69999999999993</v>
      </c>
      <c r="O30" s="34">
        <v>154.96</v>
      </c>
      <c r="P30" s="32">
        <f t="shared" si="4"/>
        <v>0.2324</v>
      </c>
    </row>
    <row r="31" spans="2:16" ht="18.75" x14ac:dyDescent="0.3">
      <c r="B31" s="18">
        <v>45989</v>
      </c>
      <c r="C31" s="19">
        <v>188</v>
      </c>
      <c r="D31" s="20">
        <v>60</v>
      </c>
      <c r="E31" s="21">
        <v>128</v>
      </c>
      <c r="F31" s="22">
        <v>50</v>
      </c>
      <c r="G31" s="23">
        <f t="shared" si="3"/>
        <v>1641</v>
      </c>
      <c r="J31" s="18">
        <v>45989</v>
      </c>
      <c r="K31" s="19">
        <v>60</v>
      </c>
      <c r="L31" s="25">
        <v>1317.95</v>
      </c>
      <c r="M31" s="26">
        <f t="shared" si="1"/>
        <v>131.80000000000001</v>
      </c>
      <c r="N31" s="27">
        <f t="shared" si="2"/>
        <v>1186.1500000000001</v>
      </c>
      <c r="O31" s="34">
        <v>350.9</v>
      </c>
      <c r="P31" s="32">
        <f t="shared" si="4"/>
        <v>0.29580000000000001</v>
      </c>
    </row>
    <row r="32" spans="2:16" ht="18.75" x14ac:dyDescent="0.3">
      <c r="B32" s="18">
        <v>45990</v>
      </c>
      <c r="C32" s="19">
        <v>138</v>
      </c>
      <c r="D32" s="20">
        <v>45</v>
      </c>
      <c r="E32" s="21">
        <v>93</v>
      </c>
      <c r="F32" s="22">
        <v>60</v>
      </c>
      <c r="G32" s="23">
        <f t="shared" si="3"/>
        <v>1701</v>
      </c>
      <c r="J32" s="18">
        <v>45990</v>
      </c>
      <c r="K32" s="19">
        <v>45</v>
      </c>
      <c r="L32" s="25">
        <v>1055.6199999999999</v>
      </c>
      <c r="M32" s="26">
        <f t="shared" si="1"/>
        <v>105.56</v>
      </c>
      <c r="N32" s="27">
        <f t="shared" si="2"/>
        <v>950.06</v>
      </c>
      <c r="O32" s="34">
        <v>172.42</v>
      </c>
      <c r="P32" s="32">
        <f t="shared" si="4"/>
        <v>0.18149999999999999</v>
      </c>
    </row>
    <row r="33" spans="2:16" ht="18.75" x14ac:dyDescent="0.3">
      <c r="B33" s="18">
        <v>45991</v>
      </c>
      <c r="C33" s="19">
        <v>72</v>
      </c>
      <c r="D33" s="20">
        <v>20</v>
      </c>
      <c r="E33" s="21">
        <v>52</v>
      </c>
      <c r="F33" s="22">
        <v>37</v>
      </c>
      <c r="G33" s="23">
        <f t="shared" si="3"/>
        <v>1738</v>
      </c>
      <c r="J33" s="18">
        <v>45991</v>
      </c>
      <c r="K33" s="19">
        <v>20</v>
      </c>
      <c r="L33" s="25">
        <v>597.04</v>
      </c>
      <c r="M33" s="26">
        <f t="shared" si="1"/>
        <v>59.7</v>
      </c>
      <c r="N33" s="27">
        <f t="shared" si="2"/>
        <v>537.33999999999992</v>
      </c>
      <c r="O33" s="34">
        <v>123.48</v>
      </c>
      <c r="P33" s="32">
        <f t="shared" si="4"/>
        <v>0.2298</v>
      </c>
    </row>
    <row r="34" spans="2:16" ht="18.75" x14ac:dyDescent="0.3">
      <c r="B34" s="3" t="s">
        <v>6</v>
      </c>
      <c r="C34" s="4">
        <f>SUM(C4:C33)</f>
        <v>1862</v>
      </c>
      <c r="D34" s="5">
        <f t="shared" ref="D34:F34" si="5">SUM(D4:D33)</f>
        <v>719</v>
      </c>
      <c r="E34" s="6">
        <f t="shared" si="5"/>
        <v>1143</v>
      </c>
      <c r="F34" s="7">
        <f t="shared" si="5"/>
        <v>1439</v>
      </c>
      <c r="G34" s="24">
        <f>G33</f>
        <v>1738</v>
      </c>
      <c r="J34" s="3" t="s">
        <v>6</v>
      </c>
      <c r="K34" s="4">
        <f>SUM(K4:K33)</f>
        <v>719</v>
      </c>
      <c r="L34" s="28">
        <f t="shared" ref="L34" si="6">SUM(L4:L33)</f>
        <v>16530.520000000004</v>
      </c>
      <c r="M34" s="29">
        <f t="shared" si="1"/>
        <v>1653.05</v>
      </c>
      <c r="N34" s="30">
        <f t="shared" si="2"/>
        <v>14877.470000000005</v>
      </c>
      <c r="O34" s="36">
        <f>SUM(O4:O33)</f>
        <v>3502.03</v>
      </c>
      <c r="P34" s="38">
        <f>SUM(P4:P24)</f>
        <v>5.4105999999999996</v>
      </c>
    </row>
    <row r="35" spans="2:16" ht="18.75" x14ac:dyDescent="0.3">
      <c r="B35" s="8"/>
      <c r="C35" s="9"/>
      <c r="D35" s="10">
        <f>D34/$C$34</f>
        <v>0.3861439312567132</v>
      </c>
      <c r="E35" s="11">
        <f>E34/$C$34</f>
        <v>0.6138560687432868</v>
      </c>
      <c r="F35" s="12"/>
      <c r="G35" s="2"/>
      <c r="J35" s="3" t="s">
        <v>13</v>
      </c>
      <c r="K35" s="35">
        <f>K34/30</f>
        <v>23.966666666666665</v>
      </c>
      <c r="L35" s="35">
        <f t="shared" ref="L35:O35" si="7">L34/30</f>
        <v>551.01733333333345</v>
      </c>
      <c r="M35" s="35">
        <f t="shared" si="7"/>
        <v>55.101666666666667</v>
      </c>
      <c r="N35" s="35">
        <f t="shared" si="7"/>
        <v>495.91566666666682</v>
      </c>
      <c r="O35" s="35">
        <f t="shared" si="7"/>
        <v>116.73433333333334</v>
      </c>
      <c r="P35" s="37">
        <f>P34/30</f>
        <v>0.18035333333333331</v>
      </c>
    </row>
    <row r="36" spans="2:16" ht="18.75" x14ac:dyDescent="0.3">
      <c r="B36" s="13"/>
      <c r="C36" s="14" t="s">
        <v>0</v>
      </c>
      <c r="D36" s="15" t="s">
        <v>1</v>
      </c>
      <c r="E36" s="16" t="s">
        <v>2</v>
      </c>
      <c r="F36" s="17" t="s">
        <v>4</v>
      </c>
      <c r="G36" s="13" t="s">
        <v>3</v>
      </c>
      <c r="J36" s="13"/>
      <c r="K36" s="14" t="s">
        <v>7</v>
      </c>
      <c r="L36" s="15" t="s">
        <v>8</v>
      </c>
      <c r="M36" s="16" t="s">
        <v>9</v>
      </c>
      <c r="N36" s="17" t="s">
        <v>10</v>
      </c>
      <c r="O36" s="33" t="s">
        <v>11</v>
      </c>
      <c r="P36" s="31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C518-7690-4698-87BC-31093328D484}">
  <dimension ref="B2:P58"/>
  <sheetViews>
    <sheetView topLeftCell="D1" zoomScale="85" zoomScaleNormal="85" workbookViewId="0">
      <selection activeCell="J37" sqref="J37"/>
    </sheetView>
  </sheetViews>
  <sheetFormatPr defaultRowHeight="15" x14ac:dyDescent="0.25"/>
  <cols>
    <col min="2" max="7" width="14.5703125" customWidth="1"/>
    <col min="10" max="11" width="14.7109375" customWidth="1"/>
    <col min="12" max="12" width="16.28515625" customWidth="1"/>
    <col min="13" max="13" width="14.7109375" customWidth="1"/>
    <col min="14" max="14" width="15.5703125" customWidth="1"/>
    <col min="15" max="16" width="17.5703125" customWidth="1"/>
  </cols>
  <sheetData>
    <row r="2" spans="2:16" x14ac:dyDescent="0.25">
      <c r="B2" s="1"/>
      <c r="C2" s="1"/>
      <c r="D2" s="1"/>
      <c r="E2" s="1"/>
      <c r="F2" s="1"/>
      <c r="G2" s="1"/>
    </row>
    <row r="3" spans="2:16" ht="18.75" x14ac:dyDescent="0.3">
      <c r="B3" s="13" t="s">
        <v>5</v>
      </c>
      <c r="C3" s="14" t="s">
        <v>0</v>
      </c>
      <c r="D3" s="15" t="s">
        <v>1</v>
      </c>
      <c r="E3" s="16" t="s">
        <v>2</v>
      </c>
      <c r="F3" s="17" t="s">
        <v>4</v>
      </c>
      <c r="G3" s="13" t="s">
        <v>3</v>
      </c>
      <c r="J3" s="13" t="s">
        <v>5</v>
      </c>
      <c r="K3" s="14" t="s">
        <v>7</v>
      </c>
      <c r="L3" s="15" t="s">
        <v>8</v>
      </c>
      <c r="M3" s="16" t="s">
        <v>9</v>
      </c>
      <c r="N3" s="17" t="s">
        <v>10</v>
      </c>
      <c r="O3" s="33" t="s">
        <v>11</v>
      </c>
      <c r="P3" s="31" t="s">
        <v>12</v>
      </c>
    </row>
    <row r="4" spans="2:16" ht="18.75" x14ac:dyDescent="0.3">
      <c r="B4" s="18">
        <v>45992</v>
      </c>
      <c r="C4" s="19">
        <v>61</v>
      </c>
      <c r="D4" s="20">
        <v>28</v>
      </c>
      <c r="E4" s="21">
        <v>33</v>
      </c>
      <c r="F4" s="22">
        <v>38</v>
      </c>
      <c r="G4" s="23">
        <v>1776</v>
      </c>
      <c r="J4" s="18">
        <v>45992</v>
      </c>
      <c r="K4" s="19">
        <v>28</v>
      </c>
      <c r="L4" s="25">
        <v>661.09</v>
      </c>
      <c r="M4" s="26">
        <f t="shared" ref="M4" si="0">ROUND(10% * L4, 2)</f>
        <v>66.11</v>
      </c>
      <c r="N4" s="27">
        <f t="shared" ref="N4" si="1">VALUE(L4) - VALUE(M4)</f>
        <v>594.98</v>
      </c>
      <c r="O4" s="34">
        <v>156.66</v>
      </c>
      <c r="P4" s="32">
        <f t="shared" ref="P4" si="2">ROUND(O4 / N4, 4)</f>
        <v>0.26329999999999998</v>
      </c>
    </row>
    <row r="5" spans="2:16" ht="18.75" x14ac:dyDescent="0.3">
      <c r="B5" s="18">
        <v>45993</v>
      </c>
      <c r="C5" s="19">
        <v>87</v>
      </c>
      <c r="D5" s="20">
        <v>40</v>
      </c>
      <c r="E5" s="21">
        <v>47</v>
      </c>
      <c r="F5" s="22">
        <v>44</v>
      </c>
      <c r="G5" s="23">
        <f t="shared" ref="G5" si="3">F5+G4</f>
        <v>1820</v>
      </c>
      <c r="J5" s="18">
        <v>45993</v>
      </c>
      <c r="K5" s="19">
        <v>40</v>
      </c>
      <c r="L5" s="25">
        <v>902.22</v>
      </c>
      <c r="M5" s="26">
        <f t="shared" ref="M5" si="4">ROUND(10% * L5, 2)</f>
        <v>90.22</v>
      </c>
      <c r="N5" s="27">
        <f t="shared" ref="N5" si="5">VALUE(L5) - VALUE(M5)</f>
        <v>812</v>
      </c>
      <c r="O5" s="34">
        <v>191.81</v>
      </c>
      <c r="P5" s="32">
        <f t="shared" ref="P5" si="6">ROUND(O5 / N5, 4)</f>
        <v>0.23619999999999999</v>
      </c>
    </row>
    <row r="6" spans="2:16" ht="18.75" x14ac:dyDescent="0.3">
      <c r="B6" s="18">
        <v>45994</v>
      </c>
      <c r="C6" s="19">
        <v>95</v>
      </c>
      <c r="D6" s="20">
        <v>48</v>
      </c>
      <c r="E6" s="21">
        <v>47</v>
      </c>
      <c r="F6" s="22">
        <v>48</v>
      </c>
      <c r="G6" s="23">
        <f t="shared" ref="G6:G34" si="7">F6+G5</f>
        <v>1868</v>
      </c>
      <c r="J6" s="18">
        <v>45994</v>
      </c>
      <c r="K6" s="19">
        <v>48</v>
      </c>
      <c r="L6" s="25">
        <v>1079.07</v>
      </c>
      <c r="M6" s="26">
        <f t="shared" ref="M6:M17" si="8">ROUND(10% * L6, 2)</f>
        <v>107.91</v>
      </c>
      <c r="N6" s="27">
        <f t="shared" ref="N6:N34" si="9">VALUE(L6) - VALUE(M6)</f>
        <v>971.16</v>
      </c>
      <c r="O6" s="34">
        <v>225.68</v>
      </c>
      <c r="P6" s="32">
        <f t="shared" ref="P6:P34" si="10">ROUND(O6 / N6, 4)</f>
        <v>0.2324</v>
      </c>
    </row>
    <row r="7" spans="2:16" ht="18.75" x14ac:dyDescent="0.3">
      <c r="B7" s="18">
        <v>45995</v>
      </c>
      <c r="C7" s="19">
        <v>93</v>
      </c>
      <c r="D7" s="20">
        <v>48</v>
      </c>
      <c r="E7" s="21">
        <v>45</v>
      </c>
      <c r="F7" s="22">
        <v>42</v>
      </c>
      <c r="G7" s="23">
        <f t="shared" si="7"/>
        <v>1910</v>
      </c>
      <c r="J7" s="18">
        <v>45995</v>
      </c>
      <c r="K7" s="19">
        <v>48</v>
      </c>
      <c r="L7" s="25">
        <v>1127.3</v>
      </c>
      <c r="M7" s="26">
        <f t="shared" si="8"/>
        <v>112.73</v>
      </c>
      <c r="N7" s="27">
        <f t="shared" si="9"/>
        <v>1014.5699999999999</v>
      </c>
      <c r="O7" s="34">
        <v>167.6</v>
      </c>
      <c r="P7" s="32">
        <f t="shared" si="10"/>
        <v>0.16520000000000001</v>
      </c>
    </row>
    <row r="8" spans="2:16" ht="18.75" x14ac:dyDescent="0.3">
      <c r="B8" s="18">
        <v>45996</v>
      </c>
      <c r="C8" s="19">
        <v>106</v>
      </c>
      <c r="D8" s="20">
        <v>54</v>
      </c>
      <c r="E8" s="21">
        <v>52</v>
      </c>
      <c r="F8" s="22">
        <v>58</v>
      </c>
      <c r="G8" s="23">
        <f t="shared" si="7"/>
        <v>1968</v>
      </c>
      <c r="J8" s="18">
        <v>45996</v>
      </c>
      <c r="K8" s="19">
        <v>54</v>
      </c>
      <c r="L8" s="25">
        <v>1324.47</v>
      </c>
      <c r="M8" s="26">
        <f t="shared" si="8"/>
        <v>132.44999999999999</v>
      </c>
      <c r="N8" s="27">
        <f t="shared" si="9"/>
        <v>1192.02</v>
      </c>
      <c r="O8" s="34">
        <v>292.64</v>
      </c>
      <c r="P8" s="32">
        <f t="shared" si="10"/>
        <v>0.2455</v>
      </c>
    </row>
    <row r="9" spans="2:16" ht="18.75" x14ac:dyDescent="0.3">
      <c r="B9" s="18">
        <v>45997</v>
      </c>
      <c r="C9" s="19">
        <v>88</v>
      </c>
      <c r="D9" s="20">
        <v>34</v>
      </c>
      <c r="E9" s="21">
        <v>54</v>
      </c>
      <c r="F9" s="22">
        <v>48</v>
      </c>
      <c r="G9" s="23">
        <f t="shared" si="7"/>
        <v>2016</v>
      </c>
      <c r="J9" s="18">
        <v>45997</v>
      </c>
      <c r="K9" s="19">
        <v>34</v>
      </c>
      <c r="L9" s="25">
        <v>998.98</v>
      </c>
      <c r="M9" s="26">
        <f t="shared" si="8"/>
        <v>99.9</v>
      </c>
      <c r="N9" s="27">
        <f t="shared" si="9"/>
        <v>899.08</v>
      </c>
      <c r="O9" s="34">
        <v>93.29</v>
      </c>
      <c r="P9" s="32">
        <f t="shared" si="10"/>
        <v>0.1038</v>
      </c>
    </row>
    <row r="10" spans="2:16" ht="18.75" x14ac:dyDescent="0.3">
      <c r="B10" s="18">
        <v>45998</v>
      </c>
      <c r="C10" s="19">
        <v>60</v>
      </c>
      <c r="D10" s="20">
        <v>21</v>
      </c>
      <c r="E10" s="21">
        <v>39</v>
      </c>
      <c r="F10" s="22">
        <v>33</v>
      </c>
      <c r="G10" s="23">
        <f t="shared" si="7"/>
        <v>2049</v>
      </c>
      <c r="J10" s="18">
        <v>45998</v>
      </c>
      <c r="K10" s="19">
        <v>21</v>
      </c>
      <c r="L10" s="25">
        <v>645.82000000000005</v>
      </c>
      <c r="M10" s="26">
        <f t="shared" si="8"/>
        <v>64.58</v>
      </c>
      <c r="N10" s="27">
        <f t="shared" si="9"/>
        <v>581.24</v>
      </c>
      <c r="O10" s="34">
        <v>29.46</v>
      </c>
      <c r="P10" s="32">
        <f t="shared" si="10"/>
        <v>5.0700000000000002E-2</v>
      </c>
    </row>
    <row r="11" spans="2:16" ht="18.75" x14ac:dyDescent="0.3">
      <c r="B11" s="18">
        <v>45999</v>
      </c>
      <c r="C11" s="19">
        <v>90</v>
      </c>
      <c r="D11" s="20">
        <v>31</v>
      </c>
      <c r="E11" s="21">
        <v>59</v>
      </c>
      <c r="F11" s="22">
        <v>40</v>
      </c>
      <c r="G11" s="23">
        <f t="shared" si="7"/>
        <v>2089</v>
      </c>
      <c r="J11" s="18">
        <v>45999</v>
      </c>
      <c r="K11" s="19">
        <v>31</v>
      </c>
      <c r="L11" s="25">
        <v>757.47</v>
      </c>
      <c r="M11" s="26">
        <f t="shared" si="8"/>
        <v>75.75</v>
      </c>
      <c r="N11" s="27">
        <f t="shared" si="9"/>
        <v>681.72</v>
      </c>
      <c r="O11" s="34">
        <v>110.72</v>
      </c>
      <c r="P11" s="32">
        <f t="shared" si="10"/>
        <v>0.16239999999999999</v>
      </c>
    </row>
    <row r="12" spans="2:16" ht="18.75" x14ac:dyDescent="0.3">
      <c r="B12" s="18">
        <v>46000</v>
      </c>
      <c r="C12" s="19">
        <v>87</v>
      </c>
      <c r="D12" s="20">
        <v>46</v>
      </c>
      <c r="E12" s="21">
        <v>41</v>
      </c>
      <c r="F12" s="22">
        <v>56</v>
      </c>
      <c r="G12" s="23">
        <f t="shared" si="7"/>
        <v>2145</v>
      </c>
      <c r="J12" s="18">
        <v>46000</v>
      </c>
      <c r="K12" s="19">
        <v>46</v>
      </c>
      <c r="L12" s="25">
        <v>1249.02</v>
      </c>
      <c r="M12" s="26">
        <f t="shared" si="8"/>
        <v>124.9</v>
      </c>
      <c r="N12" s="27">
        <f t="shared" si="9"/>
        <v>1124.1199999999999</v>
      </c>
      <c r="O12" s="34">
        <v>114.45</v>
      </c>
      <c r="P12" s="32">
        <f t="shared" si="10"/>
        <v>0.1018</v>
      </c>
    </row>
    <row r="13" spans="2:16" ht="18.75" x14ac:dyDescent="0.3">
      <c r="B13" s="18">
        <v>46001</v>
      </c>
      <c r="C13" s="19">
        <v>97</v>
      </c>
      <c r="D13" s="20">
        <v>42</v>
      </c>
      <c r="E13" s="21">
        <v>55</v>
      </c>
      <c r="F13" s="22">
        <v>34</v>
      </c>
      <c r="G13" s="23">
        <f t="shared" si="7"/>
        <v>2179</v>
      </c>
      <c r="J13" s="18">
        <v>46001</v>
      </c>
      <c r="K13" s="19">
        <v>42</v>
      </c>
      <c r="L13" s="25">
        <v>988.95</v>
      </c>
      <c r="M13" s="26">
        <f t="shared" si="8"/>
        <v>98.9</v>
      </c>
      <c r="N13" s="27">
        <f t="shared" si="9"/>
        <v>890.05000000000007</v>
      </c>
      <c r="O13" s="34">
        <v>204.26</v>
      </c>
      <c r="P13" s="32">
        <f t="shared" si="10"/>
        <v>0.22950000000000001</v>
      </c>
    </row>
    <row r="14" spans="2:16" ht="18.75" x14ac:dyDescent="0.3">
      <c r="B14" s="18">
        <v>46002</v>
      </c>
      <c r="C14" s="19">
        <v>84</v>
      </c>
      <c r="D14" s="20">
        <v>45</v>
      </c>
      <c r="E14" s="21">
        <v>39</v>
      </c>
      <c r="F14" s="22">
        <v>38</v>
      </c>
      <c r="G14" s="23">
        <f t="shared" si="7"/>
        <v>2217</v>
      </c>
      <c r="J14" s="18">
        <v>46002</v>
      </c>
      <c r="K14" s="19">
        <v>45</v>
      </c>
      <c r="L14" s="25">
        <v>1100.6199999999999</v>
      </c>
      <c r="M14" s="26">
        <f t="shared" si="8"/>
        <v>110.06</v>
      </c>
      <c r="N14" s="27">
        <f t="shared" si="9"/>
        <v>990.56</v>
      </c>
      <c r="O14" s="34">
        <v>231.7</v>
      </c>
      <c r="P14" s="32">
        <f t="shared" si="10"/>
        <v>0.2339</v>
      </c>
    </row>
    <row r="15" spans="2:16" ht="18.75" x14ac:dyDescent="0.3">
      <c r="B15" s="18">
        <v>46003</v>
      </c>
      <c r="C15" s="19">
        <v>88</v>
      </c>
      <c r="D15" s="20">
        <v>44</v>
      </c>
      <c r="E15" s="21">
        <v>44</v>
      </c>
      <c r="F15" s="22">
        <v>44</v>
      </c>
      <c r="G15" s="23">
        <f t="shared" si="7"/>
        <v>2261</v>
      </c>
      <c r="J15" s="18">
        <v>46003</v>
      </c>
      <c r="K15" s="19">
        <v>44</v>
      </c>
      <c r="L15" s="25">
        <v>1074.28</v>
      </c>
      <c r="M15" s="26">
        <f t="shared" si="8"/>
        <v>107.43</v>
      </c>
      <c r="N15" s="27">
        <f t="shared" si="9"/>
        <v>966.84999999999991</v>
      </c>
      <c r="O15" s="34">
        <v>361.51</v>
      </c>
      <c r="P15" s="32">
        <f t="shared" si="10"/>
        <v>0.37390000000000001</v>
      </c>
    </row>
    <row r="16" spans="2:16" ht="18.75" x14ac:dyDescent="0.3">
      <c r="B16" s="18">
        <v>46004</v>
      </c>
      <c r="C16" s="19">
        <v>83</v>
      </c>
      <c r="D16" s="20">
        <v>31</v>
      </c>
      <c r="E16" s="21">
        <v>52</v>
      </c>
      <c r="F16" s="22">
        <v>26</v>
      </c>
      <c r="G16" s="23">
        <f t="shared" si="7"/>
        <v>2287</v>
      </c>
      <c r="J16" s="18">
        <v>46004</v>
      </c>
      <c r="K16" s="19">
        <v>31</v>
      </c>
      <c r="L16" s="25">
        <v>737.75</v>
      </c>
      <c r="M16" s="26">
        <f t="shared" si="8"/>
        <v>73.78</v>
      </c>
      <c r="N16" s="27">
        <f t="shared" si="9"/>
        <v>663.97</v>
      </c>
      <c r="O16" s="34">
        <v>90.3</v>
      </c>
      <c r="P16" s="32">
        <f t="shared" si="10"/>
        <v>0.13600000000000001</v>
      </c>
    </row>
    <row r="17" spans="2:16" ht="18.75" x14ac:dyDescent="0.3">
      <c r="B17" s="18">
        <v>46005</v>
      </c>
      <c r="C17" s="19">
        <v>49</v>
      </c>
      <c r="D17" s="20">
        <v>9</v>
      </c>
      <c r="E17" s="21">
        <v>40</v>
      </c>
      <c r="F17" s="22">
        <v>31</v>
      </c>
      <c r="G17" s="23">
        <f t="shared" si="7"/>
        <v>2318</v>
      </c>
      <c r="J17" s="18">
        <v>46005</v>
      </c>
      <c r="K17" s="19">
        <v>9</v>
      </c>
      <c r="L17" s="25">
        <v>298.81</v>
      </c>
      <c r="M17" s="26">
        <f t="shared" si="8"/>
        <v>29.88</v>
      </c>
      <c r="N17" s="27">
        <f t="shared" si="9"/>
        <v>268.93</v>
      </c>
      <c r="O17" s="34">
        <v>120.46</v>
      </c>
      <c r="P17" s="32">
        <f t="shared" si="10"/>
        <v>0.44790000000000002</v>
      </c>
    </row>
    <row r="18" spans="2:16" ht="18.75" x14ac:dyDescent="0.3">
      <c r="B18" s="18">
        <v>46006</v>
      </c>
      <c r="C18" s="19">
        <v>92</v>
      </c>
      <c r="D18" s="20">
        <v>44</v>
      </c>
      <c r="E18" s="21">
        <v>48</v>
      </c>
      <c r="F18" s="22">
        <v>36</v>
      </c>
      <c r="G18" s="23">
        <f t="shared" si="7"/>
        <v>2354</v>
      </c>
      <c r="J18" s="18">
        <v>46006</v>
      </c>
      <c r="K18" s="19">
        <v>44</v>
      </c>
      <c r="L18" s="25">
        <v>890.87</v>
      </c>
      <c r="M18" s="26">
        <f t="shared" ref="M18:M34" si="11">ROUND(10% * L18, 2)</f>
        <v>89.09</v>
      </c>
      <c r="N18" s="27">
        <f t="shared" si="9"/>
        <v>801.78</v>
      </c>
      <c r="O18" s="34">
        <v>102.33</v>
      </c>
      <c r="P18" s="32">
        <f t="shared" si="10"/>
        <v>0.12759999999999999</v>
      </c>
    </row>
    <row r="19" spans="2:16" ht="18.75" x14ac:dyDescent="0.3">
      <c r="B19" s="18">
        <v>46007</v>
      </c>
      <c r="C19" s="19">
        <v>63</v>
      </c>
      <c r="D19" s="20">
        <v>34</v>
      </c>
      <c r="E19" s="21">
        <v>29</v>
      </c>
      <c r="F19" s="22">
        <v>37</v>
      </c>
      <c r="G19" s="23">
        <f t="shared" si="7"/>
        <v>2391</v>
      </c>
      <c r="J19" s="18">
        <v>46007</v>
      </c>
      <c r="K19" s="19">
        <v>34</v>
      </c>
      <c r="L19" s="25">
        <v>820.79</v>
      </c>
      <c r="M19" s="26">
        <f t="shared" si="11"/>
        <v>82.08</v>
      </c>
      <c r="N19" s="27">
        <f t="shared" si="9"/>
        <v>738.70999999999992</v>
      </c>
      <c r="O19" s="34">
        <v>187.23</v>
      </c>
      <c r="P19" s="32">
        <f t="shared" si="10"/>
        <v>0.2535</v>
      </c>
    </row>
    <row r="20" spans="2:16" ht="18.75" x14ac:dyDescent="0.3">
      <c r="B20" s="18">
        <v>46008</v>
      </c>
      <c r="C20" s="19">
        <v>73</v>
      </c>
      <c r="D20" s="20">
        <v>27</v>
      </c>
      <c r="E20" s="21">
        <v>46</v>
      </c>
      <c r="F20" s="22">
        <v>27</v>
      </c>
      <c r="G20" s="23">
        <f t="shared" si="7"/>
        <v>2418</v>
      </c>
      <c r="J20" s="18">
        <v>46008</v>
      </c>
      <c r="K20" s="19">
        <v>27</v>
      </c>
      <c r="L20" s="25">
        <v>717.04</v>
      </c>
      <c r="M20" s="26">
        <f t="shared" si="11"/>
        <v>71.7</v>
      </c>
      <c r="N20" s="27">
        <f t="shared" si="9"/>
        <v>645.33999999999992</v>
      </c>
      <c r="O20" s="34">
        <v>153.02000000000001</v>
      </c>
      <c r="P20" s="32">
        <f t="shared" si="10"/>
        <v>0.23710000000000001</v>
      </c>
    </row>
    <row r="21" spans="2:16" ht="18.75" x14ac:dyDescent="0.3">
      <c r="B21" s="18">
        <v>46009</v>
      </c>
      <c r="C21" s="19">
        <v>95</v>
      </c>
      <c r="D21" s="20">
        <v>40</v>
      </c>
      <c r="E21" s="21">
        <v>55</v>
      </c>
      <c r="F21" s="22">
        <v>27</v>
      </c>
      <c r="G21" s="23">
        <f t="shared" si="7"/>
        <v>2445</v>
      </c>
      <c r="J21" s="18">
        <v>46009</v>
      </c>
      <c r="K21" s="19">
        <v>40</v>
      </c>
      <c r="L21" s="25">
        <v>929.83</v>
      </c>
      <c r="M21" s="26">
        <f t="shared" si="11"/>
        <v>92.98</v>
      </c>
      <c r="N21" s="27">
        <f t="shared" si="9"/>
        <v>836.85</v>
      </c>
      <c r="O21" s="34">
        <v>118.49</v>
      </c>
      <c r="P21" s="32">
        <f t="shared" si="10"/>
        <v>0.1416</v>
      </c>
    </row>
    <row r="22" spans="2:16" ht="18.75" x14ac:dyDescent="0.3">
      <c r="B22" s="18">
        <v>46010</v>
      </c>
      <c r="C22" s="19">
        <v>76</v>
      </c>
      <c r="D22" s="20">
        <v>34</v>
      </c>
      <c r="E22" s="21">
        <v>42</v>
      </c>
      <c r="F22" s="22">
        <v>33</v>
      </c>
      <c r="G22" s="23">
        <f t="shared" si="7"/>
        <v>2478</v>
      </c>
      <c r="J22" s="18">
        <v>46010</v>
      </c>
      <c r="K22" s="19">
        <v>34</v>
      </c>
      <c r="L22" s="25">
        <v>1006.16</v>
      </c>
      <c r="M22" s="26">
        <f t="shared" si="11"/>
        <v>100.62</v>
      </c>
      <c r="N22" s="27">
        <f t="shared" si="9"/>
        <v>905.54</v>
      </c>
      <c r="O22" s="34">
        <v>214.72</v>
      </c>
      <c r="P22" s="32">
        <f t="shared" si="10"/>
        <v>0.23710000000000001</v>
      </c>
    </row>
    <row r="23" spans="2:16" ht="18.75" x14ac:dyDescent="0.3">
      <c r="B23" s="18">
        <v>46011</v>
      </c>
      <c r="C23" s="19">
        <v>82</v>
      </c>
      <c r="D23" s="20">
        <v>31</v>
      </c>
      <c r="E23" s="21">
        <v>51</v>
      </c>
      <c r="F23" s="22">
        <v>27</v>
      </c>
      <c r="G23" s="23">
        <f t="shared" si="7"/>
        <v>2505</v>
      </c>
      <c r="J23" s="18">
        <v>46011</v>
      </c>
      <c r="K23" s="19">
        <v>31</v>
      </c>
      <c r="L23" s="25">
        <v>891.15</v>
      </c>
      <c r="M23" s="26">
        <f t="shared" si="11"/>
        <v>89.12</v>
      </c>
      <c r="N23" s="27">
        <f t="shared" si="9"/>
        <v>802.03</v>
      </c>
      <c r="O23" s="34">
        <v>92.59</v>
      </c>
      <c r="P23" s="32">
        <f t="shared" si="10"/>
        <v>0.1154</v>
      </c>
    </row>
    <row r="24" spans="2:16" ht="18.75" x14ac:dyDescent="0.3">
      <c r="B24" s="18">
        <v>46012</v>
      </c>
      <c r="C24" s="19">
        <v>80</v>
      </c>
      <c r="D24" s="20">
        <v>26</v>
      </c>
      <c r="E24" s="21">
        <v>54</v>
      </c>
      <c r="F24" s="22">
        <v>23</v>
      </c>
      <c r="G24" s="23">
        <f t="shared" si="7"/>
        <v>2528</v>
      </c>
      <c r="J24" s="18">
        <v>46012</v>
      </c>
      <c r="K24" s="19">
        <v>26</v>
      </c>
      <c r="L24" s="25">
        <v>765.77</v>
      </c>
      <c r="M24" s="26">
        <f t="shared" si="11"/>
        <v>76.58</v>
      </c>
      <c r="N24" s="27">
        <f t="shared" si="9"/>
        <v>689.18999999999994</v>
      </c>
      <c r="O24" s="34">
        <v>77.52</v>
      </c>
      <c r="P24" s="32">
        <f t="shared" si="10"/>
        <v>0.1125</v>
      </c>
    </row>
    <row r="25" spans="2:16" ht="18.75" x14ac:dyDescent="0.3">
      <c r="B25" s="18">
        <v>46013</v>
      </c>
      <c r="C25" s="19">
        <v>118</v>
      </c>
      <c r="D25" s="20">
        <v>37</v>
      </c>
      <c r="E25" s="21">
        <v>81</v>
      </c>
      <c r="F25" s="22">
        <v>42</v>
      </c>
      <c r="G25" s="23">
        <f t="shared" si="7"/>
        <v>2570</v>
      </c>
      <c r="J25" s="18">
        <v>46013</v>
      </c>
      <c r="K25" s="19">
        <v>37</v>
      </c>
      <c r="L25" s="25">
        <v>925.04</v>
      </c>
      <c r="M25" s="26">
        <f t="shared" si="11"/>
        <v>92.5</v>
      </c>
      <c r="N25" s="27">
        <f t="shared" si="9"/>
        <v>832.54</v>
      </c>
      <c r="O25" s="34">
        <v>276.49</v>
      </c>
      <c r="P25" s="32">
        <f t="shared" si="10"/>
        <v>0.33210000000000001</v>
      </c>
    </row>
    <row r="26" spans="2:16" ht="18.75" x14ac:dyDescent="0.3">
      <c r="B26" s="18">
        <v>46014</v>
      </c>
      <c r="C26" s="19">
        <v>83</v>
      </c>
      <c r="D26" s="20">
        <v>38</v>
      </c>
      <c r="E26" s="21">
        <v>45</v>
      </c>
      <c r="F26" s="22">
        <v>35</v>
      </c>
      <c r="G26" s="23">
        <f t="shared" si="7"/>
        <v>2605</v>
      </c>
      <c r="J26" s="18">
        <v>46014</v>
      </c>
      <c r="K26" s="19">
        <v>38</v>
      </c>
      <c r="L26" s="25">
        <v>958.04</v>
      </c>
      <c r="M26" s="26">
        <f t="shared" si="11"/>
        <v>95.8</v>
      </c>
      <c r="N26" s="27">
        <f t="shared" si="9"/>
        <v>862.24</v>
      </c>
      <c r="O26" s="34">
        <v>124.3</v>
      </c>
      <c r="P26" s="32">
        <f t="shared" si="10"/>
        <v>0.14419999999999999</v>
      </c>
    </row>
    <row r="27" spans="2:16" ht="18.75" x14ac:dyDescent="0.3">
      <c r="B27" s="18">
        <v>46015</v>
      </c>
      <c r="C27" s="19">
        <v>70</v>
      </c>
      <c r="D27" s="20">
        <v>36</v>
      </c>
      <c r="E27" s="21">
        <v>34</v>
      </c>
      <c r="F27" s="22">
        <v>39</v>
      </c>
      <c r="G27" s="23">
        <f t="shared" si="7"/>
        <v>2644</v>
      </c>
      <c r="J27" s="18">
        <v>46015</v>
      </c>
      <c r="K27" s="19">
        <v>36</v>
      </c>
      <c r="L27" s="25">
        <v>1083.1099999999999</v>
      </c>
      <c r="M27" s="26">
        <f t="shared" si="11"/>
        <v>108.31</v>
      </c>
      <c r="N27" s="27">
        <f t="shared" si="9"/>
        <v>974.8</v>
      </c>
      <c r="O27" s="34">
        <v>197.51</v>
      </c>
      <c r="P27" s="32">
        <f t="shared" si="10"/>
        <v>0.2026</v>
      </c>
    </row>
    <row r="28" spans="2:16" ht="18.75" x14ac:dyDescent="0.3">
      <c r="B28" s="18">
        <v>46016</v>
      </c>
      <c r="C28" s="19">
        <v>90</v>
      </c>
      <c r="D28" s="20">
        <v>22</v>
      </c>
      <c r="E28" s="21">
        <v>68</v>
      </c>
      <c r="F28" s="22">
        <v>33</v>
      </c>
      <c r="G28" s="23">
        <f t="shared" si="7"/>
        <v>2677</v>
      </c>
      <c r="J28" s="18">
        <v>46016</v>
      </c>
      <c r="K28" s="19">
        <v>22</v>
      </c>
      <c r="L28" s="25">
        <v>847.39</v>
      </c>
      <c r="M28" s="26">
        <f t="shared" si="11"/>
        <v>84.74</v>
      </c>
      <c r="N28" s="27">
        <f t="shared" si="9"/>
        <v>762.65</v>
      </c>
      <c r="O28" s="34">
        <v>21.15</v>
      </c>
      <c r="P28" s="32">
        <f t="shared" si="10"/>
        <v>2.7699999999999999E-2</v>
      </c>
    </row>
    <row r="29" spans="2:16" ht="18.75" x14ac:dyDescent="0.3">
      <c r="B29" s="18">
        <v>46017</v>
      </c>
      <c r="C29" s="19">
        <v>40</v>
      </c>
      <c r="D29" s="20">
        <v>15</v>
      </c>
      <c r="E29" s="21">
        <v>25</v>
      </c>
      <c r="F29" s="22">
        <v>26</v>
      </c>
      <c r="G29" s="23">
        <f t="shared" si="7"/>
        <v>2703</v>
      </c>
      <c r="J29" s="18">
        <v>46017</v>
      </c>
      <c r="K29" s="19">
        <v>15</v>
      </c>
      <c r="L29" s="25">
        <v>326.44</v>
      </c>
      <c r="M29" s="26">
        <f t="shared" si="11"/>
        <v>32.64</v>
      </c>
      <c r="N29" s="27">
        <f t="shared" si="9"/>
        <v>293.8</v>
      </c>
      <c r="O29" s="34">
        <v>59.12</v>
      </c>
      <c r="P29" s="32">
        <f t="shared" si="10"/>
        <v>0.20119999999999999</v>
      </c>
    </row>
    <row r="30" spans="2:16" ht="18.75" x14ac:dyDescent="0.3">
      <c r="B30" s="18">
        <v>46018</v>
      </c>
      <c r="C30" s="19">
        <v>44</v>
      </c>
      <c r="D30" s="20">
        <v>19</v>
      </c>
      <c r="E30" s="21">
        <v>25</v>
      </c>
      <c r="F30" s="22">
        <v>16</v>
      </c>
      <c r="G30" s="23">
        <f t="shared" si="7"/>
        <v>2719</v>
      </c>
      <c r="J30" s="18">
        <v>46018</v>
      </c>
      <c r="K30" s="19">
        <v>19</v>
      </c>
      <c r="L30" s="25">
        <v>528.37</v>
      </c>
      <c r="M30" s="26">
        <f t="shared" si="11"/>
        <v>52.84</v>
      </c>
      <c r="N30" s="27">
        <f t="shared" si="9"/>
        <v>475.53</v>
      </c>
      <c r="O30" s="34">
        <v>14.24</v>
      </c>
      <c r="P30" s="32">
        <f t="shared" si="10"/>
        <v>2.9899999999999999E-2</v>
      </c>
    </row>
    <row r="31" spans="2:16" ht="18.75" x14ac:dyDescent="0.3">
      <c r="B31" s="18">
        <v>46019</v>
      </c>
      <c r="C31" s="19">
        <v>46</v>
      </c>
      <c r="D31" s="20">
        <v>14</v>
      </c>
      <c r="E31" s="21">
        <v>32</v>
      </c>
      <c r="F31" s="22">
        <v>16</v>
      </c>
      <c r="G31" s="23">
        <f t="shared" si="7"/>
        <v>2735</v>
      </c>
      <c r="J31" s="18">
        <v>46019</v>
      </c>
      <c r="K31" s="19">
        <v>14</v>
      </c>
      <c r="L31" s="25">
        <v>332.5</v>
      </c>
      <c r="M31" s="26">
        <f t="shared" si="11"/>
        <v>33.25</v>
      </c>
      <c r="N31" s="27">
        <f t="shared" si="9"/>
        <v>299.25</v>
      </c>
      <c r="O31" s="34">
        <v>30.11</v>
      </c>
      <c r="P31" s="32">
        <f t="shared" si="10"/>
        <v>0.10059999999999999</v>
      </c>
    </row>
    <row r="32" spans="2:16" ht="18.75" x14ac:dyDescent="0.3">
      <c r="B32" s="18">
        <v>46020</v>
      </c>
      <c r="C32" s="19">
        <v>63</v>
      </c>
      <c r="D32" s="20">
        <v>31</v>
      </c>
      <c r="E32" s="21">
        <v>32</v>
      </c>
      <c r="F32" s="22">
        <v>25</v>
      </c>
      <c r="G32" s="23">
        <f t="shared" si="7"/>
        <v>2760</v>
      </c>
      <c r="J32" s="18">
        <v>46020</v>
      </c>
      <c r="K32" s="19">
        <v>31</v>
      </c>
      <c r="L32" s="25">
        <v>686.69</v>
      </c>
      <c r="M32" s="26">
        <f t="shared" si="11"/>
        <v>68.67</v>
      </c>
      <c r="N32" s="27">
        <f t="shared" si="9"/>
        <v>618.0200000000001</v>
      </c>
      <c r="O32" s="34">
        <v>147.75</v>
      </c>
      <c r="P32" s="32">
        <f t="shared" si="10"/>
        <v>0.23910000000000001</v>
      </c>
    </row>
    <row r="33" spans="2:16" ht="18.75" x14ac:dyDescent="0.3">
      <c r="B33" s="18">
        <v>46021</v>
      </c>
      <c r="C33" s="19">
        <v>38</v>
      </c>
      <c r="D33" s="20">
        <v>17</v>
      </c>
      <c r="E33" s="21">
        <v>21</v>
      </c>
      <c r="F33" s="22">
        <v>31</v>
      </c>
      <c r="G33" s="23">
        <f t="shared" si="7"/>
        <v>2791</v>
      </c>
      <c r="J33" s="18">
        <v>46021</v>
      </c>
      <c r="K33" s="19">
        <v>17</v>
      </c>
      <c r="L33" s="25">
        <v>368.87</v>
      </c>
      <c r="M33" s="26">
        <f t="shared" si="11"/>
        <v>36.89</v>
      </c>
      <c r="N33" s="27">
        <f t="shared" si="9"/>
        <v>331.98</v>
      </c>
      <c r="O33" s="34">
        <v>95.2</v>
      </c>
      <c r="P33" s="32">
        <f t="shared" si="10"/>
        <v>0.2868</v>
      </c>
    </row>
    <row r="34" spans="2:16" ht="18.75" x14ac:dyDescent="0.3">
      <c r="B34" s="18">
        <v>46022</v>
      </c>
      <c r="C34" s="19">
        <v>130</v>
      </c>
      <c r="D34" s="20">
        <v>30</v>
      </c>
      <c r="E34" s="21">
        <v>100</v>
      </c>
      <c r="F34" s="22">
        <v>59</v>
      </c>
      <c r="G34" s="23">
        <f t="shared" si="7"/>
        <v>2850</v>
      </c>
      <c r="J34" s="18">
        <v>46022</v>
      </c>
      <c r="K34" s="19">
        <v>30</v>
      </c>
      <c r="L34" s="25">
        <v>843.81</v>
      </c>
      <c r="M34" s="26">
        <f t="shared" si="11"/>
        <v>84.38</v>
      </c>
      <c r="N34" s="27">
        <f t="shared" si="9"/>
        <v>759.43</v>
      </c>
      <c r="O34" s="34">
        <v>75.27</v>
      </c>
      <c r="P34" s="32">
        <f t="shared" si="10"/>
        <v>9.9099999999999994E-2</v>
      </c>
    </row>
    <row r="35" spans="2:16" ht="18.75" x14ac:dyDescent="0.3">
      <c r="B35" s="3" t="s">
        <v>6</v>
      </c>
      <c r="C35" s="4">
        <f>SUM(C4:C34)</f>
        <v>2451</v>
      </c>
      <c r="D35" s="5">
        <f>SUM(D4:D34)</f>
        <v>1016</v>
      </c>
      <c r="E35" s="6">
        <f>SUM(E4:E34)</f>
        <v>1435</v>
      </c>
      <c r="F35" s="7">
        <f>SUM(F4:F34)</f>
        <v>1112</v>
      </c>
      <c r="G35" s="24">
        <f>G34</f>
        <v>2850</v>
      </c>
      <c r="J35" s="3" t="s">
        <v>6</v>
      </c>
      <c r="K35" s="4">
        <f>SUM(K4:K34)</f>
        <v>1016</v>
      </c>
      <c r="L35" s="28">
        <f>SUM(L4:L34)</f>
        <v>25867.720000000005</v>
      </c>
      <c r="M35" s="29">
        <f>ROUND(10% * L35, 2)</f>
        <v>2586.77</v>
      </c>
      <c r="N35" s="30">
        <f>VALUE(L35) - VALUE(M35)</f>
        <v>23280.950000000004</v>
      </c>
      <c r="O35" s="36">
        <f>SUM(O4:O34)</f>
        <v>4377.5800000000008</v>
      </c>
      <c r="P35" s="38">
        <f>SUM(P4:P34)</f>
        <v>5.8705999999999987</v>
      </c>
    </row>
    <row r="36" spans="2:16" ht="18.75" x14ac:dyDescent="0.3">
      <c r="B36" s="8"/>
      <c r="C36" s="9"/>
      <c r="D36" s="10">
        <f>D35/$C$35</f>
        <v>0.4145246838025296</v>
      </c>
      <c r="E36" s="11">
        <f>E35/$C$35</f>
        <v>0.5854753161974704</v>
      </c>
      <c r="F36" s="12"/>
      <c r="G36" s="2"/>
      <c r="J36" s="3" t="s">
        <v>13</v>
      </c>
      <c r="K36" s="35">
        <f>K35/31</f>
        <v>32.774193548387096</v>
      </c>
      <c r="L36" s="35">
        <f t="shared" ref="L36:O36" si="12">L35/31</f>
        <v>834.44258064516146</v>
      </c>
      <c r="M36" s="35">
        <f t="shared" si="12"/>
        <v>83.444193548387091</v>
      </c>
      <c r="N36" s="35">
        <f t="shared" si="12"/>
        <v>750.99838709677431</v>
      </c>
      <c r="O36" s="35">
        <f t="shared" si="12"/>
        <v>141.21225806451616</v>
      </c>
      <c r="P36" s="37">
        <f>P35/31</f>
        <v>0.18937419354838705</v>
      </c>
    </row>
    <row r="37" spans="2:16" ht="18.75" x14ac:dyDescent="0.3">
      <c r="B37" s="13"/>
      <c r="C37" s="14" t="s">
        <v>0</v>
      </c>
      <c r="D37" s="15" t="s">
        <v>1</v>
      </c>
      <c r="E37" s="16" t="s">
        <v>2</v>
      </c>
      <c r="F37" s="17" t="s">
        <v>4</v>
      </c>
      <c r="G37" s="13" t="s">
        <v>3</v>
      </c>
      <c r="J37" s="13"/>
      <c r="K37" s="14" t="s">
        <v>7</v>
      </c>
      <c r="L37" s="15" t="s">
        <v>8</v>
      </c>
      <c r="M37" s="16" t="s">
        <v>9</v>
      </c>
      <c r="N37" s="17" t="s">
        <v>10</v>
      </c>
      <c r="O37" s="33" t="s">
        <v>11</v>
      </c>
      <c r="P37" s="31"/>
    </row>
    <row r="50" spans="2:16" ht="18.75" x14ac:dyDescent="0.3">
      <c r="J50" s="47"/>
      <c r="K50" s="48"/>
      <c r="L50" s="49"/>
      <c r="M50" s="50"/>
      <c r="N50" s="51"/>
      <c r="O50" s="52"/>
      <c r="P50" s="53"/>
    </row>
    <row r="56" spans="2:16" ht="18.75" x14ac:dyDescent="0.3">
      <c r="B56" s="47"/>
      <c r="C56" s="48"/>
      <c r="D56" s="49"/>
      <c r="E56" s="50"/>
      <c r="F56" s="51"/>
      <c r="G56" s="47"/>
      <c r="J56" s="47"/>
      <c r="K56" s="48"/>
      <c r="L56" s="49"/>
      <c r="M56" s="50"/>
      <c r="N56" s="51"/>
      <c r="O56" s="52"/>
      <c r="P56" s="53"/>
    </row>
    <row r="58" spans="2:16" ht="18.75" x14ac:dyDescent="0.3">
      <c r="B58" s="41"/>
      <c r="C58" s="42"/>
      <c r="D58" s="42"/>
      <c r="E58" s="42"/>
      <c r="F58" s="42"/>
      <c r="G58" s="43"/>
      <c r="J58" s="41"/>
      <c r="K58" s="42"/>
      <c r="L58" s="44"/>
      <c r="M58" s="44"/>
      <c r="N58" s="44"/>
      <c r="O58" s="44"/>
      <c r="P58" s="45"/>
    </row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003E-7AB9-43F8-A2CF-A9E2F172925B}">
  <dimension ref="B2:P58"/>
  <sheetViews>
    <sheetView tabSelected="1" topLeftCell="I2" zoomScale="115" zoomScaleNormal="115" workbookViewId="0">
      <selection activeCell="P37" sqref="P37"/>
    </sheetView>
  </sheetViews>
  <sheetFormatPr defaultRowHeight="15" x14ac:dyDescent="0.25"/>
  <cols>
    <col min="2" max="7" width="14.5703125" customWidth="1"/>
    <col min="10" max="11" width="14.7109375" customWidth="1"/>
    <col min="12" max="12" width="16.28515625" customWidth="1"/>
    <col min="13" max="13" width="14.7109375" customWidth="1"/>
    <col min="14" max="14" width="15.5703125" customWidth="1"/>
    <col min="15" max="16" width="17.5703125" customWidth="1"/>
  </cols>
  <sheetData>
    <row r="2" spans="2:16" x14ac:dyDescent="0.25">
      <c r="B2" s="1"/>
      <c r="C2" s="1"/>
      <c r="D2" s="1"/>
      <c r="E2" s="1"/>
      <c r="F2" s="1"/>
      <c r="G2" s="1"/>
    </row>
    <row r="3" spans="2:16" ht="18.75" x14ac:dyDescent="0.3">
      <c r="B3" s="13" t="s">
        <v>5</v>
      </c>
      <c r="C3" s="14" t="s">
        <v>0</v>
      </c>
      <c r="D3" s="15" t="s">
        <v>1</v>
      </c>
      <c r="E3" s="16" t="s">
        <v>2</v>
      </c>
      <c r="F3" s="17" t="s">
        <v>4</v>
      </c>
      <c r="G3" s="13" t="s">
        <v>3</v>
      </c>
      <c r="J3" s="13" t="s">
        <v>5</v>
      </c>
      <c r="K3" s="14" t="s">
        <v>7</v>
      </c>
      <c r="L3" s="15" t="s">
        <v>8</v>
      </c>
      <c r="M3" s="16" t="s">
        <v>9</v>
      </c>
      <c r="N3" s="17" t="s">
        <v>10</v>
      </c>
      <c r="O3" s="33" t="s">
        <v>11</v>
      </c>
      <c r="P3" s="31" t="s">
        <v>12</v>
      </c>
    </row>
    <row r="4" spans="2:16" ht="18.75" x14ac:dyDescent="0.3">
      <c r="B4" s="18">
        <v>46023</v>
      </c>
      <c r="C4" s="19">
        <v>101</v>
      </c>
      <c r="D4" s="20">
        <v>14</v>
      </c>
      <c r="E4" s="21">
        <v>87</v>
      </c>
      <c r="F4" s="22">
        <v>25</v>
      </c>
      <c r="G4" s="23">
        <v>2874</v>
      </c>
      <c r="J4" s="18">
        <v>46023</v>
      </c>
      <c r="K4" s="19">
        <v>14</v>
      </c>
      <c r="L4" s="25">
        <v>591.61</v>
      </c>
      <c r="M4" s="26">
        <f t="shared" ref="M4:M34" si="0">ROUND(10% * L4, 2)</f>
        <v>59.16</v>
      </c>
      <c r="N4" s="27">
        <f t="shared" ref="N4:N34" si="1">VALUE(L4) - VALUE(M4)</f>
        <v>532.45000000000005</v>
      </c>
      <c r="O4" s="34">
        <v>97.26</v>
      </c>
      <c r="P4" s="32">
        <f t="shared" ref="P4:P8" si="2">ROUND(O4 / N4, 4)</f>
        <v>0.1827</v>
      </c>
    </row>
    <row r="5" spans="2:16" ht="18.75" x14ac:dyDescent="0.3">
      <c r="B5" s="18">
        <v>46024</v>
      </c>
      <c r="C5" s="19">
        <v>38</v>
      </c>
      <c r="D5" s="20">
        <v>19</v>
      </c>
      <c r="E5" s="21">
        <v>19</v>
      </c>
      <c r="F5" s="22">
        <v>23</v>
      </c>
      <c r="G5" s="23">
        <f>G4+F5</f>
        <v>2897</v>
      </c>
      <c r="J5" s="18">
        <v>46024</v>
      </c>
      <c r="K5" s="19">
        <v>19</v>
      </c>
      <c r="L5" s="25">
        <v>590.55999999999995</v>
      </c>
      <c r="M5" s="26">
        <f t="shared" si="0"/>
        <v>59.06</v>
      </c>
      <c r="N5" s="27">
        <f t="shared" si="1"/>
        <v>531.5</v>
      </c>
      <c r="O5" s="34">
        <v>97.37</v>
      </c>
      <c r="P5" s="32">
        <f t="shared" si="2"/>
        <v>0.1832</v>
      </c>
    </row>
    <row r="6" spans="2:16" ht="18.75" x14ac:dyDescent="0.3">
      <c r="B6" s="18">
        <v>46025</v>
      </c>
      <c r="C6" s="19">
        <v>42</v>
      </c>
      <c r="D6" s="20">
        <v>26</v>
      </c>
      <c r="E6" s="21">
        <v>16</v>
      </c>
      <c r="F6" s="22">
        <v>24</v>
      </c>
      <c r="G6" s="23">
        <f>G5+F6</f>
        <v>2921</v>
      </c>
      <c r="J6" s="18">
        <v>46025</v>
      </c>
      <c r="K6" s="19">
        <v>26</v>
      </c>
      <c r="L6" s="25">
        <v>542.57000000000005</v>
      </c>
      <c r="M6" s="26">
        <f t="shared" si="0"/>
        <v>54.26</v>
      </c>
      <c r="N6" s="27">
        <f t="shared" si="1"/>
        <v>488.31000000000006</v>
      </c>
      <c r="O6" s="34">
        <v>92.96</v>
      </c>
      <c r="P6" s="32">
        <f t="shared" si="2"/>
        <v>0.19040000000000001</v>
      </c>
    </row>
    <row r="7" spans="2:16" ht="18.75" x14ac:dyDescent="0.3">
      <c r="B7" s="18">
        <v>46026</v>
      </c>
      <c r="C7" s="19">
        <v>41</v>
      </c>
      <c r="D7" s="20">
        <v>14</v>
      </c>
      <c r="E7" s="21">
        <v>27</v>
      </c>
      <c r="F7" s="22">
        <v>23</v>
      </c>
      <c r="G7" s="23">
        <f>G6+F7</f>
        <v>2944</v>
      </c>
      <c r="J7" s="18">
        <v>46026</v>
      </c>
      <c r="K7" s="19">
        <v>14</v>
      </c>
      <c r="L7" s="25">
        <v>351.8</v>
      </c>
      <c r="M7" s="26">
        <f t="shared" si="0"/>
        <v>35.18</v>
      </c>
      <c r="N7" s="27">
        <f t="shared" si="1"/>
        <v>316.62</v>
      </c>
      <c r="O7" s="34">
        <v>67.02</v>
      </c>
      <c r="P7" s="32">
        <f t="shared" si="2"/>
        <v>0.2117</v>
      </c>
    </row>
    <row r="8" spans="2:16" ht="18.75" x14ac:dyDescent="0.3">
      <c r="B8" s="18">
        <v>46027</v>
      </c>
      <c r="C8" s="19">
        <v>46</v>
      </c>
      <c r="D8" s="20">
        <v>31</v>
      </c>
      <c r="E8" s="21">
        <v>15</v>
      </c>
      <c r="F8" s="22">
        <v>19</v>
      </c>
      <c r="G8" s="23">
        <f>G7+F8</f>
        <v>2963</v>
      </c>
      <c r="J8" s="18">
        <v>46027</v>
      </c>
      <c r="K8" s="19">
        <v>31</v>
      </c>
      <c r="L8" s="25">
        <v>653.80999999999995</v>
      </c>
      <c r="M8" s="26">
        <f t="shared" si="0"/>
        <v>65.38</v>
      </c>
      <c r="N8" s="27">
        <f t="shared" si="1"/>
        <v>588.42999999999995</v>
      </c>
      <c r="O8" s="34">
        <v>93.09</v>
      </c>
      <c r="P8" s="32">
        <f t="shared" si="2"/>
        <v>0.15820000000000001</v>
      </c>
    </row>
    <row r="9" spans="2:16" ht="18.75" x14ac:dyDescent="0.3">
      <c r="B9" s="18">
        <v>46028</v>
      </c>
      <c r="C9" s="19"/>
      <c r="D9" s="20"/>
      <c r="E9" s="21"/>
      <c r="F9" s="22"/>
      <c r="G9" s="23"/>
      <c r="J9" s="18">
        <v>46028</v>
      </c>
      <c r="K9" s="19"/>
      <c r="L9" s="25"/>
      <c r="M9" s="26">
        <f t="shared" si="0"/>
        <v>0</v>
      </c>
      <c r="N9" s="27">
        <f t="shared" si="1"/>
        <v>0</v>
      </c>
      <c r="O9" s="34"/>
      <c r="P9" s="32"/>
    </row>
    <row r="10" spans="2:16" ht="18.75" x14ac:dyDescent="0.3">
      <c r="B10" s="18">
        <v>46029</v>
      </c>
      <c r="C10" s="19"/>
      <c r="D10" s="20"/>
      <c r="E10" s="21"/>
      <c r="F10" s="22"/>
      <c r="G10" s="23"/>
      <c r="J10" s="18">
        <v>46029</v>
      </c>
      <c r="K10" s="19"/>
      <c r="L10" s="25"/>
      <c r="M10" s="26">
        <f t="shared" si="0"/>
        <v>0</v>
      </c>
      <c r="N10" s="27">
        <f t="shared" si="1"/>
        <v>0</v>
      </c>
      <c r="O10" s="34"/>
      <c r="P10" s="32"/>
    </row>
    <row r="11" spans="2:16" ht="18.75" x14ac:dyDescent="0.3">
      <c r="B11" s="18">
        <v>46030</v>
      </c>
      <c r="C11" s="19"/>
      <c r="D11" s="20"/>
      <c r="E11" s="21"/>
      <c r="F11" s="22"/>
      <c r="G11" s="23"/>
      <c r="J11" s="18">
        <v>46030</v>
      </c>
      <c r="K11" s="19"/>
      <c r="L11" s="25"/>
      <c r="M11" s="26">
        <f t="shared" si="0"/>
        <v>0</v>
      </c>
      <c r="N11" s="27">
        <f t="shared" si="1"/>
        <v>0</v>
      </c>
      <c r="O11" s="34"/>
      <c r="P11" s="32"/>
    </row>
    <row r="12" spans="2:16" ht="18.75" x14ac:dyDescent="0.3">
      <c r="B12" s="18">
        <v>46031</v>
      </c>
      <c r="C12" s="19"/>
      <c r="D12" s="20"/>
      <c r="E12" s="21"/>
      <c r="F12" s="22"/>
      <c r="G12" s="23"/>
      <c r="J12" s="18">
        <v>46031</v>
      </c>
      <c r="K12" s="19"/>
      <c r="L12" s="25"/>
      <c r="M12" s="26">
        <f t="shared" si="0"/>
        <v>0</v>
      </c>
      <c r="N12" s="27">
        <f t="shared" si="1"/>
        <v>0</v>
      </c>
      <c r="O12" s="34"/>
      <c r="P12" s="32"/>
    </row>
    <row r="13" spans="2:16" ht="18.75" x14ac:dyDescent="0.3">
      <c r="B13" s="18">
        <v>46032</v>
      </c>
      <c r="C13" s="19"/>
      <c r="D13" s="20"/>
      <c r="E13" s="21"/>
      <c r="F13" s="22"/>
      <c r="G13" s="23"/>
      <c r="J13" s="18">
        <v>46032</v>
      </c>
      <c r="K13" s="19"/>
      <c r="L13" s="25"/>
      <c r="M13" s="26">
        <f t="shared" si="0"/>
        <v>0</v>
      </c>
      <c r="N13" s="27">
        <f t="shared" si="1"/>
        <v>0</v>
      </c>
      <c r="O13" s="34"/>
      <c r="P13" s="32"/>
    </row>
    <row r="14" spans="2:16" ht="18.75" x14ac:dyDescent="0.3">
      <c r="B14" s="18">
        <v>46033</v>
      </c>
      <c r="C14" s="19"/>
      <c r="D14" s="20"/>
      <c r="E14" s="21"/>
      <c r="F14" s="22"/>
      <c r="G14" s="23"/>
      <c r="J14" s="18">
        <v>46033</v>
      </c>
      <c r="K14" s="19"/>
      <c r="L14" s="25"/>
      <c r="M14" s="26">
        <f t="shared" si="0"/>
        <v>0</v>
      </c>
      <c r="N14" s="27">
        <f t="shared" si="1"/>
        <v>0</v>
      </c>
      <c r="O14" s="34"/>
      <c r="P14" s="32"/>
    </row>
    <row r="15" spans="2:16" ht="18.75" x14ac:dyDescent="0.3">
      <c r="B15" s="18">
        <v>46034</v>
      </c>
      <c r="C15" s="19"/>
      <c r="D15" s="20"/>
      <c r="E15" s="21"/>
      <c r="F15" s="22"/>
      <c r="G15" s="23"/>
      <c r="J15" s="18">
        <v>46034</v>
      </c>
      <c r="K15" s="19"/>
      <c r="L15" s="25"/>
      <c r="M15" s="26">
        <f t="shared" si="0"/>
        <v>0</v>
      </c>
      <c r="N15" s="27">
        <f t="shared" si="1"/>
        <v>0</v>
      </c>
      <c r="O15" s="34"/>
      <c r="P15" s="32"/>
    </row>
    <row r="16" spans="2:16" ht="18.75" x14ac:dyDescent="0.3">
      <c r="B16" s="18">
        <v>46035</v>
      </c>
      <c r="C16" s="19"/>
      <c r="D16" s="20"/>
      <c r="E16" s="21"/>
      <c r="F16" s="22"/>
      <c r="G16" s="23"/>
      <c r="J16" s="18">
        <v>46035</v>
      </c>
      <c r="K16" s="19"/>
      <c r="L16" s="25"/>
      <c r="M16" s="26">
        <f t="shared" si="0"/>
        <v>0</v>
      </c>
      <c r="N16" s="27">
        <f t="shared" si="1"/>
        <v>0</v>
      </c>
      <c r="O16" s="34"/>
      <c r="P16" s="32"/>
    </row>
    <row r="17" spans="2:16" ht="18.75" x14ac:dyDescent="0.3">
      <c r="B17" s="18">
        <v>46036</v>
      </c>
      <c r="C17" s="19"/>
      <c r="D17" s="20"/>
      <c r="E17" s="21"/>
      <c r="F17" s="22"/>
      <c r="G17" s="23"/>
      <c r="J17" s="18">
        <v>46036</v>
      </c>
      <c r="K17" s="19"/>
      <c r="L17" s="25"/>
      <c r="M17" s="26">
        <f t="shared" si="0"/>
        <v>0</v>
      </c>
      <c r="N17" s="27">
        <f t="shared" si="1"/>
        <v>0</v>
      </c>
      <c r="O17" s="34"/>
      <c r="P17" s="32"/>
    </row>
    <row r="18" spans="2:16" ht="18.75" x14ac:dyDescent="0.3">
      <c r="B18" s="18">
        <v>46037</v>
      </c>
      <c r="C18" s="19"/>
      <c r="D18" s="20"/>
      <c r="E18" s="21"/>
      <c r="F18" s="22"/>
      <c r="G18" s="23"/>
      <c r="J18" s="18">
        <v>46037</v>
      </c>
      <c r="K18" s="19"/>
      <c r="L18" s="25"/>
      <c r="M18" s="26">
        <f t="shared" si="0"/>
        <v>0</v>
      </c>
      <c r="N18" s="27">
        <f t="shared" si="1"/>
        <v>0</v>
      </c>
      <c r="O18" s="34"/>
      <c r="P18" s="32"/>
    </row>
    <row r="19" spans="2:16" ht="18.75" x14ac:dyDescent="0.3">
      <c r="B19" s="18">
        <v>46038</v>
      </c>
      <c r="C19" s="19"/>
      <c r="D19" s="20"/>
      <c r="E19" s="21"/>
      <c r="F19" s="22"/>
      <c r="G19" s="23"/>
      <c r="J19" s="18">
        <v>46038</v>
      </c>
      <c r="K19" s="19"/>
      <c r="L19" s="25"/>
      <c r="M19" s="26">
        <f t="shared" si="0"/>
        <v>0</v>
      </c>
      <c r="N19" s="27">
        <f t="shared" si="1"/>
        <v>0</v>
      </c>
      <c r="O19" s="34"/>
      <c r="P19" s="32"/>
    </row>
    <row r="20" spans="2:16" ht="18.75" x14ac:dyDescent="0.3">
      <c r="B20" s="18">
        <v>46039</v>
      </c>
      <c r="C20" s="19"/>
      <c r="D20" s="20"/>
      <c r="E20" s="21"/>
      <c r="F20" s="22"/>
      <c r="G20" s="23"/>
      <c r="J20" s="18">
        <v>46039</v>
      </c>
      <c r="K20" s="19"/>
      <c r="L20" s="25"/>
      <c r="M20" s="26">
        <f t="shared" si="0"/>
        <v>0</v>
      </c>
      <c r="N20" s="27">
        <f t="shared" si="1"/>
        <v>0</v>
      </c>
      <c r="O20" s="34"/>
      <c r="P20" s="32"/>
    </row>
    <row r="21" spans="2:16" ht="18.75" x14ac:dyDescent="0.3">
      <c r="B21" s="18">
        <v>46040</v>
      </c>
      <c r="C21" s="19"/>
      <c r="D21" s="20"/>
      <c r="E21" s="21"/>
      <c r="F21" s="22"/>
      <c r="G21" s="23"/>
      <c r="J21" s="18">
        <v>46040</v>
      </c>
      <c r="K21" s="19"/>
      <c r="L21" s="25"/>
      <c r="M21" s="26">
        <f t="shared" si="0"/>
        <v>0</v>
      </c>
      <c r="N21" s="27">
        <f t="shared" si="1"/>
        <v>0</v>
      </c>
      <c r="O21" s="34"/>
      <c r="P21" s="32"/>
    </row>
    <row r="22" spans="2:16" ht="18.75" x14ac:dyDescent="0.3">
      <c r="B22" s="18">
        <v>46041</v>
      </c>
      <c r="C22" s="19"/>
      <c r="D22" s="20"/>
      <c r="E22" s="21"/>
      <c r="F22" s="22"/>
      <c r="G22" s="23"/>
      <c r="J22" s="18">
        <v>46041</v>
      </c>
      <c r="K22" s="19"/>
      <c r="L22" s="25"/>
      <c r="M22" s="26">
        <f t="shared" si="0"/>
        <v>0</v>
      </c>
      <c r="N22" s="27">
        <f t="shared" si="1"/>
        <v>0</v>
      </c>
      <c r="O22" s="34"/>
      <c r="P22" s="32"/>
    </row>
    <row r="23" spans="2:16" ht="18.75" x14ac:dyDescent="0.3">
      <c r="B23" s="18">
        <v>46042</v>
      </c>
      <c r="C23" s="19"/>
      <c r="D23" s="20"/>
      <c r="E23" s="21"/>
      <c r="F23" s="22"/>
      <c r="G23" s="23"/>
      <c r="J23" s="18">
        <v>46042</v>
      </c>
      <c r="K23" s="19"/>
      <c r="L23" s="25"/>
      <c r="M23" s="26">
        <f t="shared" si="0"/>
        <v>0</v>
      </c>
      <c r="N23" s="27">
        <f t="shared" si="1"/>
        <v>0</v>
      </c>
      <c r="O23" s="34"/>
      <c r="P23" s="32"/>
    </row>
    <row r="24" spans="2:16" ht="18.75" x14ac:dyDescent="0.3">
      <c r="B24" s="18">
        <v>46043</v>
      </c>
      <c r="C24" s="19"/>
      <c r="D24" s="20"/>
      <c r="E24" s="21"/>
      <c r="F24" s="22"/>
      <c r="G24" s="23"/>
      <c r="J24" s="18">
        <v>46043</v>
      </c>
      <c r="K24" s="19"/>
      <c r="L24" s="25"/>
      <c r="M24" s="26">
        <f t="shared" si="0"/>
        <v>0</v>
      </c>
      <c r="N24" s="27">
        <f t="shared" si="1"/>
        <v>0</v>
      </c>
      <c r="O24" s="34"/>
      <c r="P24" s="32"/>
    </row>
    <row r="25" spans="2:16" ht="18.75" x14ac:dyDescent="0.3">
      <c r="B25" s="18">
        <v>46044</v>
      </c>
      <c r="C25" s="19"/>
      <c r="D25" s="20"/>
      <c r="E25" s="21"/>
      <c r="F25" s="22"/>
      <c r="G25" s="23"/>
      <c r="J25" s="18">
        <v>46044</v>
      </c>
      <c r="K25" s="19"/>
      <c r="L25" s="25"/>
      <c r="M25" s="26">
        <f t="shared" si="0"/>
        <v>0</v>
      </c>
      <c r="N25" s="27">
        <f t="shared" si="1"/>
        <v>0</v>
      </c>
      <c r="O25" s="34"/>
      <c r="P25" s="32"/>
    </row>
    <row r="26" spans="2:16" ht="18.75" x14ac:dyDescent="0.3">
      <c r="B26" s="18">
        <v>46045</v>
      </c>
      <c r="C26" s="19"/>
      <c r="D26" s="20"/>
      <c r="E26" s="21"/>
      <c r="F26" s="22"/>
      <c r="G26" s="23"/>
      <c r="J26" s="18">
        <v>46045</v>
      </c>
      <c r="K26" s="19"/>
      <c r="L26" s="25"/>
      <c r="M26" s="26">
        <f t="shared" si="0"/>
        <v>0</v>
      </c>
      <c r="N26" s="27">
        <f t="shared" si="1"/>
        <v>0</v>
      </c>
      <c r="O26" s="34"/>
      <c r="P26" s="32"/>
    </row>
    <row r="27" spans="2:16" ht="18.75" x14ac:dyDescent="0.3">
      <c r="B27" s="18">
        <v>46046</v>
      </c>
      <c r="C27" s="19"/>
      <c r="D27" s="20"/>
      <c r="E27" s="21"/>
      <c r="F27" s="22"/>
      <c r="G27" s="23"/>
      <c r="J27" s="18">
        <v>46046</v>
      </c>
      <c r="K27" s="19"/>
      <c r="L27" s="25"/>
      <c r="M27" s="26">
        <f t="shared" si="0"/>
        <v>0</v>
      </c>
      <c r="N27" s="27">
        <f t="shared" si="1"/>
        <v>0</v>
      </c>
      <c r="O27" s="34"/>
      <c r="P27" s="32"/>
    </row>
    <row r="28" spans="2:16" ht="18.75" x14ac:dyDescent="0.3">
      <c r="B28" s="18">
        <v>46047</v>
      </c>
      <c r="C28" s="19"/>
      <c r="D28" s="20"/>
      <c r="E28" s="21"/>
      <c r="F28" s="22"/>
      <c r="G28" s="23"/>
      <c r="J28" s="18">
        <v>46047</v>
      </c>
      <c r="K28" s="19"/>
      <c r="L28" s="25"/>
      <c r="M28" s="26">
        <f t="shared" si="0"/>
        <v>0</v>
      </c>
      <c r="N28" s="27">
        <f t="shared" si="1"/>
        <v>0</v>
      </c>
      <c r="O28" s="34"/>
      <c r="P28" s="32"/>
    </row>
    <row r="29" spans="2:16" ht="18.75" x14ac:dyDescent="0.3">
      <c r="B29" s="18">
        <v>46048</v>
      </c>
      <c r="C29" s="19"/>
      <c r="D29" s="20"/>
      <c r="E29" s="21"/>
      <c r="F29" s="22"/>
      <c r="G29" s="23"/>
      <c r="J29" s="18">
        <v>46048</v>
      </c>
      <c r="K29" s="19"/>
      <c r="L29" s="25"/>
      <c r="M29" s="26">
        <f t="shared" si="0"/>
        <v>0</v>
      </c>
      <c r="N29" s="27">
        <f t="shared" si="1"/>
        <v>0</v>
      </c>
      <c r="O29" s="34"/>
      <c r="P29" s="32"/>
    </row>
    <row r="30" spans="2:16" ht="18.75" x14ac:dyDescent="0.3">
      <c r="B30" s="18">
        <v>46049</v>
      </c>
      <c r="C30" s="19"/>
      <c r="D30" s="20"/>
      <c r="E30" s="21"/>
      <c r="F30" s="22"/>
      <c r="G30" s="23"/>
      <c r="J30" s="18">
        <v>46049</v>
      </c>
      <c r="K30" s="19"/>
      <c r="L30" s="25"/>
      <c r="M30" s="26">
        <f t="shared" si="0"/>
        <v>0</v>
      </c>
      <c r="N30" s="27">
        <f t="shared" si="1"/>
        <v>0</v>
      </c>
      <c r="O30" s="34"/>
      <c r="P30" s="32"/>
    </row>
    <row r="31" spans="2:16" ht="18.75" x14ac:dyDescent="0.3">
      <c r="B31" s="18">
        <v>46050</v>
      </c>
      <c r="C31" s="19"/>
      <c r="D31" s="20"/>
      <c r="E31" s="21"/>
      <c r="F31" s="22"/>
      <c r="G31" s="23"/>
      <c r="J31" s="18">
        <v>46050</v>
      </c>
      <c r="K31" s="19"/>
      <c r="L31" s="25"/>
      <c r="M31" s="26">
        <f t="shared" si="0"/>
        <v>0</v>
      </c>
      <c r="N31" s="27">
        <f t="shared" si="1"/>
        <v>0</v>
      </c>
      <c r="O31" s="34"/>
      <c r="P31" s="32"/>
    </row>
    <row r="32" spans="2:16" ht="18.75" x14ac:dyDescent="0.3">
      <c r="B32" s="18">
        <v>46051</v>
      </c>
      <c r="C32" s="19"/>
      <c r="D32" s="20"/>
      <c r="E32" s="21"/>
      <c r="F32" s="22"/>
      <c r="G32" s="23"/>
      <c r="J32" s="18">
        <v>46051</v>
      </c>
      <c r="K32" s="19"/>
      <c r="L32" s="25"/>
      <c r="M32" s="26">
        <f t="shared" si="0"/>
        <v>0</v>
      </c>
      <c r="N32" s="27">
        <f t="shared" si="1"/>
        <v>0</v>
      </c>
      <c r="O32" s="34"/>
      <c r="P32" s="32"/>
    </row>
    <row r="33" spans="2:16" ht="18.75" x14ac:dyDescent="0.3">
      <c r="B33" s="18">
        <v>46052</v>
      </c>
      <c r="C33" s="19"/>
      <c r="D33" s="20"/>
      <c r="E33" s="21"/>
      <c r="F33" s="22"/>
      <c r="G33" s="23"/>
      <c r="J33" s="18">
        <v>46052</v>
      </c>
      <c r="K33" s="19"/>
      <c r="L33" s="25"/>
      <c r="M33" s="26">
        <f t="shared" si="0"/>
        <v>0</v>
      </c>
      <c r="N33" s="27">
        <f t="shared" si="1"/>
        <v>0</v>
      </c>
      <c r="O33" s="34"/>
      <c r="P33" s="32"/>
    </row>
    <row r="34" spans="2:16" ht="18.75" x14ac:dyDescent="0.3">
      <c r="B34" s="18">
        <v>46053</v>
      </c>
      <c r="C34" s="19"/>
      <c r="D34" s="20"/>
      <c r="E34" s="21"/>
      <c r="F34" s="22"/>
      <c r="G34" s="23"/>
      <c r="J34" s="18">
        <v>46053</v>
      </c>
      <c r="K34" s="19"/>
      <c r="L34" s="25"/>
      <c r="M34" s="26">
        <f t="shared" si="0"/>
        <v>0</v>
      </c>
      <c r="N34" s="27">
        <f t="shared" si="1"/>
        <v>0</v>
      </c>
      <c r="O34" s="34"/>
      <c r="P34" s="32"/>
    </row>
    <row r="35" spans="2:16" ht="18.75" x14ac:dyDescent="0.3">
      <c r="B35" s="3" t="s">
        <v>6</v>
      </c>
      <c r="C35" s="4">
        <f>SUM(C4:C34)</f>
        <v>268</v>
      </c>
      <c r="D35" s="5">
        <f>SUM(D4:D34)</f>
        <v>104</v>
      </c>
      <c r="E35" s="6">
        <f>SUM(E4:E34)</f>
        <v>164</v>
      </c>
      <c r="F35" s="7">
        <f>SUM(F4:F34)</f>
        <v>114</v>
      </c>
      <c r="G35" s="24">
        <f>G8</f>
        <v>2963</v>
      </c>
      <c r="J35" s="3" t="s">
        <v>6</v>
      </c>
      <c r="K35" s="4">
        <f>SUM(K4:K34)</f>
        <v>104</v>
      </c>
      <c r="L35" s="28">
        <f>SUM(L4:L34)</f>
        <v>2730.3500000000004</v>
      </c>
      <c r="M35" s="29">
        <f>ROUND(10% * L35, 2)</f>
        <v>273.04000000000002</v>
      </c>
      <c r="N35" s="30">
        <f>VALUE(L35) - VALUE(M35)</f>
        <v>2457.3100000000004</v>
      </c>
      <c r="O35" s="36">
        <f>SUM(O4:O34)</f>
        <v>447.69999999999993</v>
      </c>
      <c r="P35" s="38">
        <f>SUM(P4:P34)</f>
        <v>0.92620000000000002</v>
      </c>
    </row>
    <row r="36" spans="2:16" ht="18.75" x14ac:dyDescent="0.3">
      <c r="B36" s="8"/>
      <c r="C36" s="9"/>
      <c r="D36" s="10">
        <f>D35/$C$35</f>
        <v>0.38805970149253732</v>
      </c>
      <c r="E36" s="11">
        <f>E35/$C$35</f>
        <v>0.61194029850746268</v>
      </c>
      <c r="F36" s="12"/>
      <c r="G36" s="2"/>
      <c r="J36" s="3" t="s">
        <v>13</v>
      </c>
      <c r="K36" s="35">
        <f>K35/5</f>
        <v>20.8</v>
      </c>
      <c r="L36" s="35">
        <f t="shared" ref="L36:O36" si="3">L35/5</f>
        <v>546.07000000000005</v>
      </c>
      <c r="M36" s="35">
        <f t="shared" si="3"/>
        <v>54.608000000000004</v>
      </c>
      <c r="N36" s="35">
        <f t="shared" si="3"/>
        <v>491.4620000000001</v>
      </c>
      <c r="O36" s="35">
        <f t="shared" si="3"/>
        <v>89.539999999999992</v>
      </c>
      <c r="P36" s="37">
        <f>P35/5</f>
        <v>0.18524000000000002</v>
      </c>
    </row>
    <row r="37" spans="2:16" ht="18.75" x14ac:dyDescent="0.3">
      <c r="B37" s="13"/>
      <c r="C37" s="14" t="s">
        <v>0</v>
      </c>
      <c r="D37" s="15" t="s">
        <v>1</v>
      </c>
      <c r="E37" s="16" t="s">
        <v>2</v>
      </c>
      <c r="F37" s="17" t="s">
        <v>4</v>
      </c>
      <c r="G37" s="13" t="s">
        <v>3</v>
      </c>
      <c r="J37" s="13"/>
      <c r="K37" s="14" t="s">
        <v>7</v>
      </c>
      <c r="L37" s="15" t="s">
        <v>8</v>
      </c>
      <c r="M37" s="16" t="s">
        <v>9</v>
      </c>
      <c r="N37" s="17" t="s">
        <v>10</v>
      </c>
      <c r="O37" s="33" t="s">
        <v>11</v>
      </c>
      <c r="P37" s="31"/>
    </row>
    <row r="50" spans="2:16" ht="18.75" x14ac:dyDescent="0.3">
      <c r="J50" s="47"/>
      <c r="K50" s="48"/>
      <c r="L50" s="49"/>
      <c r="M50" s="50"/>
      <c r="N50" s="51"/>
      <c r="O50" s="52"/>
      <c r="P50" s="53"/>
    </row>
    <row r="56" spans="2:16" ht="18.75" x14ac:dyDescent="0.3">
      <c r="B56" s="47"/>
      <c r="C56" s="48"/>
      <c r="D56" s="49"/>
      <c r="E56" s="50"/>
      <c r="F56" s="51"/>
      <c r="G56" s="47"/>
      <c r="J56" s="47"/>
      <c r="K56" s="48"/>
      <c r="L56" s="49"/>
      <c r="M56" s="50"/>
      <c r="N56" s="51"/>
      <c r="O56" s="52"/>
      <c r="P56" s="53"/>
    </row>
    <row r="58" spans="2:16" ht="18.75" x14ac:dyDescent="0.3">
      <c r="B58" s="41"/>
      <c r="C58" s="42"/>
      <c r="D58" s="42"/>
      <c r="E58" s="42"/>
      <c r="F58" s="42"/>
      <c r="G58" s="43"/>
      <c r="J58" s="41"/>
      <c r="K58" s="42"/>
      <c r="L58" s="44"/>
      <c r="M58" s="44"/>
      <c r="N58" s="44"/>
      <c r="O58" s="44"/>
      <c r="P58" s="4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BF8F-0F77-4D86-A15B-2CCCBC7208C6}">
  <dimension ref="B2:BA79"/>
  <sheetViews>
    <sheetView zoomScale="85" zoomScaleNormal="85" workbookViewId="0">
      <selection activeCell="G4" sqref="G4"/>
    </sheetView>
  </sheetViews>
  <sheetFormatPr defaultRowHeight="15" x14ac:dyDescent="0.25"/>
  <cols>
    <col min="2" max="7" width="14.5703125" customWidth="1"/>
    <col min="10" max="11" width="14.7109375" customWidth="1"/>
    <col min="12" max="12" width="16.28515625" customWidth="1"/>
    <col min="13" max="13" width="14.7109375" customWidth="1"/>
    <col min="14" max="14" width="15.5703125" customWidth="1"/>
    <col min="15" max="16" width="17.5703125" customWidth="1"/>
    <col min="19" max="19" width="5.7109375" customWidth="1"/>
    <col min="20" max="20" width="35.5703125" customWidth="1"/>
    <col min="21" max="21" width="12.140625" customWidth="1"/>
    <col min="22" max="22" width="10.28515625" customWidth="1"/>
    <col min="23" max="23" width="10.42578125" customWidth="1"/>
    <col min="24" max="24" width="10.85546875" customWidth="1"/>
    <col min="25" max="25" width="10.5703125" customWidth="1"/>
    <col min="26" max="26" width="11.140625" customWidth="1"/>
    <col min="27" max="27" width="10.5703125" bestFit="1" customWidth="1"/>
    <col min="29" max="29" width="10.28515625" customWidth="1"/>
    <col min="30" max="30" width="10.42578125" customWidth="1"/>
    <col min="31" max="31" width="11.140625" customWidth="1"/>
    <col min="32" max="35" width="9.28515625" bestFit="1" customWidth="1"/>
    <col min="38" max="41" width="9.28515625" bestFit="1" customWidth="1"/>
    <col min="44" max="49" width="9.28515625" bestFit="1" customWidth="1"/>
    <col min="52" max="52" width="9.28515625" bestFit="1" customWidth="1"/>
    <col min="53" max="53" width="12.28515625" customWidth="1"/>
  </cols>
  <sheetData>
    <row r="2" spans="2:53" x14ac:dyDescent="0.25">
      <c r="B2" s="1"/>
      <c r="C2" s="1"/>
      <c r="D2" s="1"/>
      <c r="E2" s="1"/>
      <c r="F2" s="1"/>
      <c r="G2" s="1"/>
    </row>
    <row r="3" spans="2:53" ht="18.75" x14ac:dyDescent="0.3">
      <c r="B3" s="13" t="s">
        <v>5</v>
      </c>
      <c r="C3" s="14" t="s">
        <v>0</v>
      </c>
      <c r="D3" s="15" t="s">
        <v>1</v>
      </c>
      <c r="E3" s="16" t="s">
        <v>2</v>
      </c>
      <c r="F3" s="17" t="s">
        <v>4</v>
      </c>
      <c r="G3" s="13" t="s">
        <v>3</v>
      </c>
      <c r="J3" s="13" t="s">
        <v>5</v>
      </c>
      <c r="K3" s="14" t="s">
        <v>7</v>
      </c>
      <c r="L3" s="15" t="s">
        <v>8</v>
      </c>
      <c r="M3" s="16" t="s">
        <v>9</v>
      </c>
      <c r="N3" s="17" t="s">
        <v>10</v>
      </c>
      <c r="O3" s="33" t="s">
        <v>11</v>
      </c>
      <c r="P3" s="31" t="s">
        <v>12</v>
      </c>
      <c r="S3" s="56"/>
      <c r="T3" s="62"/>
      <c r="U3" s="62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2"/>
    </row>
    <row r="4" spans="2:53" ht="18.75" x14ac:dyDescent="0.3">
      <c r="B4" s="18">
        <v>46054</v>
      </c>
      <c r="C4" s="19"/>
      <c r="D4" s="20"/>
      <c r="E4" s="21"/>
      <c r="F4" s="22"/>
      <c r="G4" s="23"/>
      <c r="J4" s="18">
        <v>46054</v>
      </c>
      <c r="K4" s="19"/>
      <c r="L4" s="25"/>
      <c r="M4" s="26">
        <f t="shared" ref="M4:M34" si="0">ROUND(10% * L4, 2)</f>
        <v>0</v>
      </c>
      <c r="N4" s="27">
        <f t="shared" ref="N4:N34" si="1">VALUE(L4) - VALUE(M4)</f>
        <v>0</v>
      </c>
      <c r="O4" s="34"/>
      <c r="P4" s="32" t="e">
        <f t="shared" ref="P4:P34" si="2">ROUND(O4 / N4, 4)</f>
        <v>#DIV/0!</v>
      </c>
      <c r="S4" s="57"/>
      <c r="T4" s="40"/>
      <c r="U4" s="40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6"/>
    </row>
    <row r="5" spans="2:53" ht="18.75" x14ac:dyDescent="0.3">
      <c r="B5" s="18">
        <v>46055</v>
      </c>
      <c r="C5" s="19"/>
      <c r="D5" s="20"/>
      <c r="E5" s="21"/>
      <c r="F5" s="22"/>
      <c r="G5" s="23"/>
      <c r="J5" s="18">
        <v>46055</v>
      </c>
      <c r="K5" s="19"/>
      <c r="L5" s="25"/>
      <c r="M5" s="26">
        <f t="shared" si="0"/>
        <v>0</v>
      </c>
      <c r="N5" s="27">
        <f t="shared" si="1"/>
        <v>0</v>
      </c>
      <c r="O5" s="34"/>
      <c r="P5" s="32" t="e">
        <f t="shared" si="2"/>
        <v>#DIV/0!</v>
      </c>
      <c r="S5" s="57"/>
      <c r="T5" s="46"/>
      <c r="U5" s="67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4"/>
    </row>
    <row r="6" spans="2:53" ht="18.75" x14ac:dyDescent="0.3">
      <c r="B6" s="18">
        <v>46056</v>
      </c>
      <c r="C6" s="19"/>
      <c r="D6" s="20"/>
      <c r="E6" s="21"/>
      <c r="F6" s="22"/>
      <c r="G6" s="23"/>
      <c r="J6" s="18">
        <v>46056</v>
      </c>
      <c r="K6" s="19"/>
      <c r="L6" s="25"/>
      <c r="M6" s="26">
        <f t="shared" si="0"/>
        <v>0</v>
      </c>
      <c r="N6" s="27">
        <f t="shared" si="1"/>
        <v>0</v>
      </c>
      <c r="O6" s="34"/>
      <c r="P6" s="32" t="e">
        <f t="shared" si="2"/>
        <v>#DIV/0!</v>
      </c>
      <c r="S6" s="57"/>
      <c r="T6" s="46"/>
      <c r="U6" s="67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4"/>
    </row>
    <row r="7" spans="2:53" ht="18.75" x14ac:dyDescent="0.3">
      <c r="B7" s="18">
        <v>46057</v>
      </c>
      <c r="C7" s="19"/>
      <c r="D7" s="20"/>
      <c r="E7" s="21"/>
      <c r="F7" s="22"/>
      <c r="G7" s="23"/>
      <c r="J7" s="18">
        <v>46057</v>
      </c>
      <c r="K7" s="19"/>
      <c r="L7" s="25"/>
      <c r="M7" s="26">
        <f t="shared" si="0"/>
        <v>0</v>
      </c>
      <c r="N7" s="27">
        <f t="shared" si="1"/>
        <v>0</v>
      </c>
      <c r="O7" s="34"/>
      <c r="P7" s="32" t="e">
        <f t="shared" si="2"/>
        <v>#DIV/0!</v>
      </c>
      <c r="S7" s="57"/>
      <c r="T7" s="46"/>
      <c r="U7" s="67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4"/>
    </row>
    <row r="8" spans="2:53" ht="18.75" x14ac:dyDescent="0.3">
      <c r="B8" s="18">
        <v>46058</v>
      </c>
      <c r="C8" s="19"/>
      <c r="D8" s="20"/>
      <c r="E8" s="21"/>
      <c r="F8" s="22"/>
      <c r="G8" s="23"/>
      <c r="J8" s="18">
        <v>46058</v>
      </c>
      <c r="K8" s="19"/>
      <c r="L8" s="25"/>
      <c r="M8" s="26">
        <f t="shared" si="0"/>
        <v>0</v>
      </c>
      <c r="N8" s="27">
        <f t="shared" si="1"/>
        <v>0</v>
      </c>
      <c r="O8" s="34"/>
      <c r="P8" s="32" t="e">
        <f t="shared" si="2"/>
        <v>#DIV/0!</v>
      </c>
      <c r="S8" s="57"/>
      <c r="T8" s="46"/>
      <c r="U8" s="67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4"/>
    </row>
    <row r="9" spans="2:53" ht="18.75" x14ac:dyDescent="0.3">
      <c r="B9" s="18">
        <v>46059</v>
      </c>
      <c r="C9" s="19"/>
      <c r="D9" s="20"/>
      <c r="E9" s="21"/>
      <c r="F9" s="22"/>
      <c r="G9" s="23"/>
      <c r="J9" s="18">
        <v>46059</v>
      </c>
      <c r="K9" s="19"/>
      <c r="L9" s="25"/>
      <c r="M9" s="26">
        <f t="shared" si="0"/>
        <v>0</v>
      </c>
      <c r="N9" s="27">
        <f t="shared" si="1"/>
        <v>0</v>
      </c>
      <c r="O9" s="34"/>
      <c r="P9" s="32" t="e">
        <f t="shared" si="2"/>
        <v>#DIV/0!</v>
      </c>
      <c r="S9" s="57"/>
      <c r="T9" s="46"/>
      <c r="U9" s="67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4"/>
    </row>
    <row r="10" spans="2:53" ht="18.75" x14ac:dyDescent="0.3">
      <c r="B10" s="18">
        <v>46060</v>
      </c>
      <c r="C10" s="19"/>
      <c r="D10" s="20"/>
      <c r="E10" s="21"/>
      <c r="F10" s="22"/>
      <c r="G10" s="23"/>
      <c r="J10" s="18">
        <v>46060</v>
      </c>
      <c r="K10" s="19"/>
      <c r="L10" s="25"/>
      <c r="M10" s="26">
        <f t="shared" si="0"/>
        <v>0</v>
      </c>
      <c r="N10" s="27">
        <f t="shared" si="1"/>
        <v>0</v>
      </c>
      <c r="O10" s="34"/>
      <c r="P10" s="32" t="e">
        <f t="shared" si="2"/>
        <v>#DIV/0!</v>
      </c>
      <c r="S10" s="57"/>
      <c r="T10" s="46"/>
      <c r="U10" s="67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4"/>
    </row>
    <row r="11" spans="2:53" ht="18.75" x14ac:dyDescent="0.3">
      <c r="B11" s="18">
        <v>46061</v>
      </c>
      <c r="C11" s="19"/>
      <c r="D11" s="20"/>
      <c r="E11" s="21"/>
      <c r="F11" s="22"/>
      <c r="G11" s="23"/>
      <c r="J11" s="18">
        <v>46061</v>
      </c>
      <c r="K11" s="19"/>
      <c r="L11" s="25"/>
      <c r="M11" s="26">
        <f t="shared" si="0"/>
        <v>0</v>
      </c>
      <c r="N11" s="27">
        <f t="shared" si="1"/>
        <v>0</v>
      </c>
      <c r="O11" s="34"/>
      <c r="P11" s="32" t="e">
        <f t="shared" si="2"/>
        <v>#DIV/0!</v>
      </c>
      <c r="S11" s="57"/>
      <c r="T11" s="46"/>
      <c r="U11" s="67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4"/>
    </row>
    <row r="12" spans="2:53" ht="18.75" x14ac:dyDescent="0.3">
      <c r="B12" s="18">
        <v>46062</v>
      </c>
      <c r="C12" s="19"/>
      <c r="D12" s="20"/>
      <c r="E12" s="21"/>
      <c r="F12" s="22"/>
      <c r="G12" s="23"/>
      <c r="J12" s="18">
        <v>46062</v>
      </c>
      <c r="K12" s="19"/>
      <c r="L12" s="25"/>
      <c r="M12" s="26">
        <f t="shared" si="0"/>
        <v>0</v>
      </c>
      <c r="N12" s="27">
        <f t="shared" si="1"/>
        <v>0</v>
      </c>
      <c r="O12" s="34"/>
      <c r="P12" s="32" t="e">
        <f t="shared" si="2"/>
        <v>#DIV/0!</v>
      </c>
      <c r="S12" s="57"/>
      <c r="T12" s="46"/>
      <c r="U12" s="67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4"/>
    </row>
    <row r="13" spans="2:53" ht="18.75" x14ac:dyDescent="0.3">
      <c r="B13" s="18">
        <v>46063</v>
      </c>
      <c r="C13" s="19"/>
      <c r="D13" s="20"/>
      <c r="E13" s="21"/>
      <c r="F13" s="22"/>
      <c r="G13" s="23"/>
      <c r="J13" s="18">
        <v>46063</v>
      </c>
      <c r="K13" s="19"/>
      <c r="L13" s="25"/>
      <c r="M13" s="26">
        <f t="shared" si="0"/>
        <v>0</v>
      </c>
      <c r="N13" s="27">
        <f t="shared" si="1"/>
        <v>0</v>
      </c>
      <c r="O13" s="34"/>
      <c r="P13" s="32" t="e">
        <f t="shared" si="2"/>
        <v>#DIV/0!</v>
      </c>
      <c r="S13" s="57"/>
      <c r="T13" s="46"/>
      <c r="U13" s="67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4"/>
    </row>
    <row r="14" spans="2:53" ht="18.75" x14ac:dyDescent="0.3">
      <c r="B14" s="18">
        <v>46064</v>
      </c>
      <c r="C14" s="19"/>
      <c r="D14" s="20"/>
      <c r="E14" s="21"/>
      <c r="F14" s="22"/>
      <c r="G14" s="23"/>
      <c r="J14" s="18">
        <v>46064</v>
      </c>
      <c r="K14" s="19"/>
      <c r="L14" s="25"/>
      <c r="M14" s="26">
        <f t="shared" si="0"/>
        <v>0</v>
      </c>
      <c r="N14" s="27">
        <f t="shared" si="1"/>
        <v>0</v>
      </c>
      <c r="O14" s="34"/>
      <c r="P14" s="32" t="e">
        <f t="shared" si="2"/>
        <v>#DIV/0!</v>
      </c>
      <c r="S14" s="57"/>
      <c r="T14" s="46"/>
      <c r="U14" s="67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4"/>
    </row>
    <row r="15" spans="2:53" ht="18.75" x14ac:dyDescent="0.3">
      <c r="B15" s="18">
        <v>46065</v>
      </c>
      <c r="C15" s="19"/>
      <c r="D15" s="20"/>
      <c r="E15" s="21"/>
      <c r="F15" s="22"/>
      <c r="G15" s="23"/>
      <c r="J15" s="18">
        <v>46065</v>
      </c>
      <c r="K15" s="19"/>
      <c r="L15" s="25"/>
      <c r="M15" s="26">
        <f t="shared" si="0"/>
        <v>0</v>
      </c>
      <c r="N15" s="27">
        <f t="shared" si="1"/>
        <v>0</v>
      </c>
      <c r="O15" s="34"/>
      <c r="P15" s="32" t="e">
        <f t="shared" si="2"/>
        <v>#DIV/0!</v>
      </c>
      <c r="S15" s="57"/>
      <c r="T15" s="46"/>
      <c r="U15" s="67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4"/>
    </row>
    <row r="16" spans="2:53" ht="18.75" x14ac:dyDescent="0.3">
      <c r="B16" s="18">
        <v>46066</v>
      </c>
      <c r="C16" s="19"/>
      <c r="D16" s="20"/>
      <c r="E16" s="21"/>
      <c r="F16" s="22"/>
      <c r="G16" s="23"/>
      <c r="J16" s="18">
        <v>46066</v>
      </c>
      <c r="K16" s="19"/>
      <c r="L16" s="25"/>
      <c r="M16" s="26">
        <f t="shared" si="0"/>
        <v>0</v>
      </c>
      <c r="N16" s="27">
        <f t="shared" si="1"/>
        <v>0</v>
      </c>
      <c r="O16" s="34"/>
      <c r="P16" s="32" t="e">
        <f t="shared" si="2"/>
        <v>#DIV/0!</v>
      </c>
      <c r="S16" s="57"/>
      <c r="T16" s="46"/>
      <c r="U16" s="67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4"/>
    </row>
    <row r="17" spans="2:53" ht="18.75" x14ac:dyDescent="0.3">
      <c r="B17" s="18">
        <v>46067</v>
      </c>
      <c r="C17" s="19"/>
      <c r="D17" s="20"/>
      <c r="E17" s="21"/>
      <c r="F17" s="22"/>
      <c r="G17" s="23"/>
      <c r="J17" s="18">
        <v>46067</v>
      </c>
      <c r="K17" s="19"/>
      <c r="L17" s="25"/>
      <c r="M17" s="26">
        <f t="shared" si="0"/>
        <v>0</v>
      </c>
      <c r="N17" s="27">
        <f t="shared" si="1"/>
        <v>0</v>
      </c>
      <c r="O17" s="34"/>
      <c r="P17" s="32" t="e">
        <f t="shared" si="2"/>
        <v>#DIV/0!</v>
      </c>
      <c r="S17" s="57"/>
      <c r="U17" s="67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4"/>
    </row>
    <row r="18" spans="2:53" ht="18.75" x14ac:dyDescent="0.3">
      <c r="B18" s="18">
        <v>46068</v>
      </c>
      <c r="C18" s="19"/>
      <c r="D18" s="20"/>
      <c r="E18" s="21"/>
      <c r="F18" s="22"/>
      <c r="G18" s="23"/>
      <c r="J18" s="18">
        <v>46068</v>
      </c>
      <c r="K18" s="19"/>
      <c r="L18" s="25"/>
      <c r="M18" s="26">
        <f t="shared" si="0"/>
        <v>0</v>
      </c>
      <c r="N18" s="27">
        <f t="shared" si="1"/>
        <v>0</v>
      </c>
      <c r="O18" s="34"/>
      <c r="P18" s="32" t="e">
        <f t="shared" si="2"/>
        <v>#DIV/0!</v>
      </c>
      <c r="S18" s="57"/>
      <c r="U18" s="67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4"/>
    </row>
    <row r="19" spans="2:53" ht="18.75" x14ac:dyDescent="0.3">
      <c r="B19" s="18">
        <v>46069</v>
      </c>
      <c r="C19" s="19"/>
      <c r="D19" s="20"/>
      <c r="E19" s="21"/>
      <c r="F19" s="22"/>
      <c r="G19" s="23"/>
      <c r="J19" s="18">
        <v>46069</v>
      </c>
      <c r="K19" s="19"/>
      <c r="L19" s="25"/>
      <c r="M19" s="26">
        <f t="shared" si="0"/>
        <v>0</v>
      </c>
      <c r="N19" s="27">
        <f t="shared" si="1"/>
        <v>0</v>
      </c>
      <c r="O19" s="34"/>
      <c r="P19" s="32" t="e">
        <f t="shared" si="2"/>
        <v>#DIV/0!</v>
      </c>
      <c r="S19" s="57"/>
      <c r="U19" s="67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4"/>
    </row>
    <row r="20" spans="2:53" ht="18.75" x14ac:dyDescent="0.3">
      <c r="B20" s="18">
        <v>46070</v>
      </c>
      <c r="C20" s="19"/>
      <c r="D20" s="20"/>
      <c r="E20" s="21"/>
      <c r="F20" s="22"/>
      <c r="G20" s="23"/>
      <c r="J20" s="18">
        <v>46070</v>
      </c>
      <c r="K20" s="19"/>
      <c r="L20" s="25"/>
      <c r="M20" s="26">
        <f t="shared" si="0"/>
        <v>0</v>
      </c>
      <c r="N20" s="27">
        <f t="shared" si="1"/>
        <v>0</v>
      </c>
      <c r="O20" s="34"/>
      <c r="P20" s="32" t="e">
        <f t="shared" si="2"/>
        <v>#DIV/0!</v>
      </c>
      <c r="S20" s="57"/>
      <c r="U20" s="67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4"/>
    </row>
    <row r="21" spans="2:53" ht="18.75" x14ac:dyDescent="0.3">
      <c r="B21" s="18">
        <v>46071</v>
      </c>
      <c r="C21" s="19"/>
      <c r="D21" s="20"/>
      <c r="E21" s="21"/>
      <c r="F21" s="22"/>
      <c r="G21" s="23"/>
      <c r="J21" s="18">
        <v>46071</v>
      </c>
      <c r="K21" s="19"/>
      <c r="L21" s="25"/>
      <c r="M21" s="26">
        <f t="shared" si="0"/>
        <v>0</v>
      </c>
      <c r="N21" s="27">
        <f t="shared" si="1"/>
        <v>0</v>
      </c>
      <c r="O21" s="34"/>
      <c r="P21" s="32" t="e">
        <f t="shared" si="2"/>
        <v>#DIV/0!</v>
      </c>
      <c r="S21" s="57"/>
      <c r="U21" s="67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4"/>
    </row>
    <row r="22" spans="2:53" ht="18.75" x14ac:dyDescent="0.3">
      <c r="B22" s="18">
        <v>46072</v>
      </c>
      <c r="C22" s="19"/>
      <c r="D22" s="20"/>
      <c r="E22" s="21"/>
      <c r="F22" s="22"/>
      <c r="G22" s="23"/>
      <c r="J22" s="18">
        <v>46072</v>
      </c>
      <c r="K22" s="19"/>
      <c r="L22" s="25"/>
      <c r="M22" s="26">
        <f t="shared" si="0"/>
        <v>0</v>
      </c>
      <c r="N22" s="27">
        <f t="shared" si="1"/>
        <v>0</v>
      </c>
      <c r="O22" s="34"/>
      <c r="P22" s="32" t="e">
        <f t="shared" si="2"/>
        <v>#DIV/0!</v>
      </c>
      <c r="S22" s="57"/>
      <c r="U22" s="67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4"/>
    </row>
    <row r="23" spans="2:53" ht="18.75" x14ac:dyDescent="0.3">
      <c r="B23" s="18">
        <v>46073</v>
      </c>
      <c r="C23" s="19"/>
      <c r="D23" s="20"/>
      <c r="E23" s="21"/>
      <c r="F23" s="22"/>
      <c r="G23" s="23"/>
      <c r="J23" s="18">
        <v>46073</v>
      </c>
      <c r="K23" s="19"/>
      <c r="L23" s="25"/>
      <c r="M23" s="26">
        <f t="shared" si="0"/>
        <v>0</v>
      </c>
      <c r="N23" s="27">
        <f t="shared" si="1"/>
        <v>0</v>
      </c>
      <c r="O23" s="34"/>
      <c r="P23" s="32" t="e">
        <f t="shared" si="2"/>
        <v>#DIV/0!</v>
      </c>
      <c r="S23" s="57"/>
      <c r="U23" s="67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4"/>
    </row>
    <row r="24" spans="2:53" ht="18.75" x14ac:dyDescent="0.3">
      <c r="B24" s="18">
        <v>46074</v>
      </c>
      <c r="C24" s="19"/>
      <c r="D24" s="20"/>
      <c r="E24" s="21"/>
      <c r="F24" s="22"/>
      <c r="G24" s="23"/>
      <c r="J24" s="18">
        <v>46074</v>
      </c>
      <c r="K24" s="19"/>
      <c r="L24" s="25"/>
      <c r="M24" s="26">
        <f t="shared" si="0"/>
        <v>0</v>
      </c>
      <c r="N24" s="27">
        <f t="shared" si="1"/>
        <v>0</v>
      </c>
      <c r="O24" s="34"/>
      <c r="P24" s="32" t="e">
        <f t="shared" si="2"/>
        <v>#DIV/0!</v>
      </c>
      <c r="S24" s="57"/>
      <c r="U24" s="67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4"/>
    </row>
    <row r="25" spans="2:53" ht="18.75" x14ac:dyDescent="0.3">
      <c r="B25" s="18">
        <v>46075</v>
      </c>
      <c r="C25" s="19"/>
      <c r="D25" s="20"/>
      <c r="E25" s="21"/>
      <c r="F25" s="22"/>
      <c r="G25" s="23"/>
      <c r="J25" s="18">
        <v>46075</v>
      </c>
      <c r="K25" s="19"/>
      <c r="L25" s="25"/>
      <c r="M25" s="26">
        <f t="shared" si="0"/>
        <v>0</v>
      </c>
      <c r="N25" s="27">
        <f t="shared" si="1"/>
        <v>0</v>
      </c>
      <c r="O25" s="34"/>
      <c r="P25" s="32" t="e">
        <f t="shared" si="2"/>
        <v>#DIV/0!</v>
      </c>
      <c r="S25" s="57"/>
      <c r="U25" s="67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4"/>
    </row>
    <row r="26" spans="2:53" ht="18.75" x14ac:dyDescent="0.3">
      <c r="B26" s="18">
        <v>46076</v>
      </c>
      <c r="C26" s="19"/>
      <c r="D26" s="20"/>
      <c r="E26" s="21"/>
      <c r="F26" s="22"/>
      <c r="G26" s="23"/>
      <c r="J26" s="18">
        <v>46076</v>
      </c>
      <c r="K26" s="19"/>
      <c r="L26" s="25"/>
      <c r="M26" s="26">
        <f t="shared" si="0"/>
        <v>0</v>
      </c>
      <c r="N26" s="27">
        <f t="shared" si="1"/>
        <v>0</v>
      </c>
      <c r="O26" s="34"/>
      <c r="P26" s="32" t="e">
        <f t="shared" si="2"/>
        <v>#DIV/0!</v>
      </c>
      <c r="S26" s="57"/>
      <c r="U26" s="67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4"/>
    </row>
    <row r="27" spans="2:53" ht="18.75" x14ac:dyDescent="0.3">
      <c r="B27" s="18">
        <v>46077</v>
      </c>
      <c r="C27" s="19"/>
      <c r="D27" s="20"/>
      <c r="E27" s="21"/>
      <c r="F27" s="22"/>
      <c r="G27" s="23"/>
      <c r="J27" s="18">
        <v>46077</v>
      </c>
      <c r="K27" s="19"/>
      <c r="L27" s="25"/>
      <c r="M27" s="26">
        <f t="shared" si="0"/>
        <v>0</v>
      </c>
      <c r="N27" s="27">
        <f t="shared" si="1"/>
        <v>0</v>
      </c>
      <c r="O27" s="34"/>
      <c r="P27" s="32" t="e">
        <f t="shared" si="2"/>
        <v>#DIV/0!</v>
      </c>
      <c r="S27" s="57"/>
      <c r="U27" s="67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4"/>
    </row>
    <row r="28" spans="2:53" ht="18.75" x14ac:dyDescent="0.3">
      <c r="B28" s="18">
        <v>46078</v>
      </c>
      <c r="C28" s="19"/>
      <c r="D28" s="20"/>
      <c r="E28" s="21"/>
      <c r="F28" s="22"/>
      <c r="G28" s="23"/>
      <c r="J28" s="18">
        <v>46078</v>
      </c>
      <c r="K28" s="19"/>
      <c r="L28" s="25"/>
      <c r="M28" s="26">
        <f t="shared" si="0"/>
        <v>0</v>
      </c>
      <c r="N28" s="27">
        <f t="shared" si="1"/>
        <v>0</v>
      </c>
      <c r="O28" s="34"/>
      <c r="P28" s="32" t="e">
        <f t="shared" si="2"/>
        <v>#DIV/0!</v>
      </c>
      <c r="S28" s="57"/>
      <c r="U28" s="67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4"/>
    </row>
    <row r="29" spans="2:53" ht="18.75" x14ac:dyDescent="0.3">
      <c r="B29" s="18">
        <v>46079</v>
      </c>
      <c r="C29" s="19"/>
      <c r="D29" s="20"/>
      <c r="E29" s="21"/>
      <c r="F29" s="22"/>
      <c r="G29" s="23"/>
      <c r="J29" s="18">
        <v>46079</v>
      </c>
      <c r="K29" s="19"/>
      <c r="L29" s="25"/>
      <c r="M29" s="26">
        <f t="shared" si="0"/>
        <v>0</v>
      </c>
      <c r="N29" s="27">
        <f t="shared" si="1"/>
        <v>0</v>
      </c>
      <c r="O29" s="34"/>
      <c r="P29" s="32" t="e">
        <f t="shared" si="2"/>
        <v>#DIV/0!</v>
      </c>
      <c r="S29" s="57"/>
      <c r="U29" s="67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4"/>
    </row>
    <row r="30" spans="2:53" ht="18.75" x14ac:dyDescent="0.3">
      <c r="B30" s="18">
        <v>46080</v>
      </c>
      <c r="C30" s="19"/>
      <c r="D30" s="20"/>
      <c r="E30" s="21"/>
      <c r="F30" s="22"/>
      <c r="G30" s="23"/>
      <c r="J30" s="18">
        <v>46080</v>
      </c>
      <c r="K30" s="19"/>
      <c r="L30" s="25"/>
      <c r="M30" s="26">
        <f t="shared" si="0"/>
        <v>0</v>
      </c>
      <c r="N30" s="27">
        <f t="shared" si="1"/>
        <v>0</v>
      </c>
      <c r="O30" s="34"/>
      <c r="P30" s="32" t="e">
        <f t="shared" si="2"/>
        <v>#DIV/0!</v>
      </c>
      <c r="S30" s="57"/>
      <c r="U30" s="67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4"/>
    </row>
    <row r="31" spans="2:53" ht="18.75" x14ac:dyDescent="0.3">
      <c r="B31" s="18">
        <v>46081</v>
      </c>
      <c r="C31" s="19"/>
      <c r="D31" s="20"/>
      <c r="E31" s="21"/>
      <c r="F31" s="22"/>
      <c r="G31" s="23"/>
      <c r="J31" s="18">
        <v>46081</v>
      </c>
      <c r="K31" s="19"/>
      <c r="L31" s="25"/>
      <c r="M31" s="26">
        <f t="shared" si="0"/>
        <v>0</v>
      </c>
      <c r="N31" s="27">
        <f t="shared" si="1"/>
        <v>0</v>
      </c>
      <c r="O31" s="34"/>
      <c r="P31" s="32" t="e">
        <f t="shared" si="2"/>
        <v>#DIV/0!</v>
      </c>
      <c r="S31" s="57"/>
      <c r="U31" s="67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4"/>
    </row>
    <row r="32" spans="2:53" ht="18.75" x14ac:dyDescent="0.3">
      <c r="B32" s="18"/>
      <c r="C32" s="19"/>
      <c r="D32" s="20"/>
      <c r="E32" s="21"/>
      <c r="F32" s="22"/>
      <c r="G32" s="23"/>
      <c r="J32" s="18"/>
      <c r="K32" s="19"/>
      <c r="L32" s="25"/>
      <c r="M32" s="26">
        <f t="shared" si="0"/>
        <v>0</v>
      </c>
      <c r="N32" s="27">
        <f t="shared" si="1"/>
        <v>0</v>
      </c>
      <c r="O32" s="34"/>
      <c r="P32" s="32" t="e">
        <f t="shared" si="2"/>
        <v>#DIV/0!</v>
      </c>
      <c r="S32" s="57"/>
      <c r="U32" s="67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4"/>
    </row>
    <row r="33" spans="2:53" ht="18.75" x14ac:dyDescent="0.3">
      <c r="B33" s="18"/>
      <c r="C33" s="19"/>
      <c r="D33" s="20"/>
      <c r="E33" s="21"/>
      <c r="F33" s="22"/>
      <c r="G33" s="23"/>
      <c r="J33" s="18"/>
      <c r="K33" s="19"/>
      <c r="L33" s="25"/>
      <c r="M33" s="26">
        <f t="shared" si="0"/>
        <v>0</v>
      </c>
      <c r="N33" s="27">
        <f t="shared" si="1"/>
        <v>0</v>
      </c>
      <c r="O33" s="34"/>
      <c r="P33" s="32" t="e">
        <f t="shared" si="2"/>
        <v>#DIV/0!</v>
      </c>
      <c r="S33" s="57"/>
      <c r="U33" s="67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4"/>
    </row>
    <row r="34" spans="2:53" ht="18.75" x14ac:dyDescent="0.3">
      <c r="B34" s="18"/>
      <c r="C34" s="19"/>
      <c r="D34" s="20"/>
      <c r="E34" s="21"/>
      <c r="F34" s="22"/>
      <c r="G34" s="23"/>
      <c r="J34" s="18"/>
      <c r="K34" s="19"/>
      <c r="L34" s="25"/>
      <c r="M34" s="26">
        <f t="shared" si="0"/>
        <v>0</v>
      </c>
      <c r="N34" s="27">
        <f t="shared" si="1"/>
        <v>0</v>
      </c>
      <c r="O34" s="34"/>
      <c r="P34" s="32" t="e">
        <f t="shared" si="2"/>
        <v>#DIV/0!</v>
      </c>
      <c r="S34" s="57"/>
      <c r="U34" s="67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4"/>
    </row>
    <row r="35" spans="2:53" ht="18.75" x14ac:dyDescent="0.3">
      <c r="B35" s="3" t="s">
        <v>6</v>
      </c>
      <c r="C35" s="4">
        <f>SUM(C4:C34)</f>
        <v>0</v>
      </c>
      <c r="D35" s="5">
        <f>SUM(D4:D34)</f>
        <v>0</v>
      </c>
      <c r="E35" s="6">
        <f>SUM(E4:E34)</f>
        <v>0</v>
      </c>
      <c r="F35" s="7">
        <f>SUM(F4:F34)</f>
        <v>0</v>
      </c>
      <c r="G35" s="24">
        <f>G34</f>
        <v>0</v>
      </c>
      <c r="J35" s="3" t="s">
        <v>6</v>
      </c>
      <c r="K35" s="4">
        <f>SUM(K4:K34)</f>
        <v>0</v>
      </c>
      <c r="L35" s="28">
        <f>SUM(L4:L34)</f>
        <v>0</v>
      </c>
      <c r="M35" s="29">
        <f>ROUND(10% * L35, 2)</f>
        <v>0</v>
      </c>
      <c r="N35" s="30">
        <f>VALUE(L35) - VALUE(M35)</f>
        <v>0</v>
      </c>
      <c r="O35" s="36">
        <f>SUM(O4:O34)</f>
        <v>0</v>
      </c>
      <c r="P35" s="38" t="e">
        <f>SUM(P4:P34)</f>
        <v>#DIV/0!</v>
      </c>
      <c r="S35" s="57"/>
      <c r="T35" s="60"/>
      <c r="U35" s="67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4"/>
    </row>
    <row r="36" spans="2:53" ht="18.75" x14ac:dyDescent="0.3">
      <c r="B36" s="8"/>
      <c r="C36" s="9"/>
      <c r="D36" s="10" t="e">
        <f>D35/$C$35</f>
        <v>#DIV/0!</v>
      </c>
      <c r="E36" s="11" t="e">
        <f>E35/$C$35</f>
        <v>#DIV/0!</v>
      </c>
      <c r="F36" s="12"/>
      <c r="G36" s="2"/>
      <c r="J36" s="3" t="s">
        <v>13</v>
      </c>
      <c r="K36" s="35">
        <f>K35/31</f>
        <v>0</v>
      </c>
      <c r="L36" s="35">
        <f t="shared" ref="L36:O36" si="3">L35/31</f>
        <v>0</v>
      </c>
      <c r="M36" s="35">
        <f t="shared" si="3"/>
        <v>0</v>
      </c>
      <c r="N36" s="35">
        <f t="shared" si="3"/>
        <v>0</v>
      </c>
      <c r="O36" s="35">
        <f t="shared" si="3"/>
        <v>0</v>
      </c>
      <c r="P36" s="37" t="e">
        <f>P35/31</f>
        <v>#DIV/0!</v>
      </c>
      <c r="S36" s="57"/>
      <c r="T36" s="60"/>
      <c r="U36" s="67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4"/>
    </row>
    <row r="37" spans="2:53" ht="18.75" x14ac:dyDescent="0.3">
      <c r="B37" s="13"/>
      <c r="C37" s="14" t="s">
        <v>0</v>
      </c>
      <c r="D37" s="15" t="s">
        <v>1</v>
      </c>
      <c r="E37" s="16" t="s">
        <v>2</v>
      </c>
      <c r="F37" s="17" t="s">
        <v>4</v>
      </c>
      <c r="G37" s="13" t="s">
        <v>3</v>
      </c>
      <c r="J37" s="13"/>
      <c r="K37" s="14" t="s">
        <v>7</v>
      </c>
      <c r="L37" s="15" t="s">
        <v>8</v>
      </c>
      <c r="M37" s="16" t="s">
        <v>9</v>
      </c>
      <c r="N37" s="17" t="s">
        <v>10</v>
      </c>
      <c r="O37" s="33" t="s">
        <v>11</v>
      </c>
      <c r="P37" s="31"/>
      <c r="S37" s="57"/>
      <c r="U37" s="67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4"/>
    </row>
    <row r="38" spans="2:53" x14ac:dyDescent="0.25">
      <c r="S38" s="57"/>
      <c r="T38" s="60"/>
      <c r="U38" s="67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4"/>
    </row>
    <row r="39" spans="2:53" x14ac:dyDescent="0.25">
      <c r="S39" s="57"/>
      <c r="T39" s="60"/>
      <c r="U39" s="67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4"/>
    </row>
    <row r="40" spans="2:53" x14ac:dyDescent="0.25">
      <c r="S40" s="57"/>
      <c r="U40" s="67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4"/>
    </row>
    <row r="41" spans="2:53" x14ac:dyDescent="0.25">
      <c r="S41" s="57"/>
      <c r="U41" s="67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4"/>
    </row>
    <row r="42" spans="2:53" x14ac:dyDescent="0.25">
      <c r="S42" s="57"/>
      <c r="T42" s="60"/>
      <c r="U42" s="67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4"/>
    </row>
    <row r="43" spans="2:53" x14ac:dyDescent="0.25">
      <c r="S43" s="57"/>
      <c r="T43" s="60"/>
      <c r="U43" s="67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4"/>
    </row>
    <row r="44" spans="2:53" x14ac:dyDescent="0.25">
      <c r="S44" s="57"/>
      <c r="T44" s="60"/>
      <c r="U44" s="67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4"/>
    </row>
    <row r="45" spans="2:53" ht="16.5" x14ac:dyDescent="0.3">
      <c r="S45" s="57"/>
      <c r="T45" s="61"/>
      <c r="U45" s="67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4"/>
    </row>
    <row r="46" spans="2:53" x14ac:dyDescent="0.25">
      <c r="S46" s="57"/>
      <c r="U46" s="67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4"/>
    </row>
    <row r="47" spans="2:53" x14ac:dyDescent="0.25">
      <c r="S47" s="57"/>
      <c r="T47" s="60"/>
      <c r="U47" s="67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4"/>
    </row>
    <row r="48" spans="2:53" x14ac:dyDescent="0.25">
      <c r="S48" s="57"/>
      <c r="T48" s="60"/>
      <c r="U48" s="67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4"/>
    </row>
    <row r="49" spans="2:53" x14ac:dyDescent="0.25">
      <c r="S49" s="57"/>
      <c r="U49" s="67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4"/>
    </row>
    <row r="50" spans="2:53" ht="18.75" x14ac:dyDescent="0.3">
      <c r="J50" s="47"/>
      <c r="K50" s="48"/>
      <c r="L50" s="49"/>
      <c r="M50" s="50"/>
      <c r="N50" s="51"/>
      <c r="O50" s="52"/>
      <c r="P50" s="53"/>
      <c r="S50" s="57"/>
      <c r="T50" s="60"/>
      <c r="U50" s="67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4"/>
    </row>
    <row r="51" spans="2:53" x14ac:dyDescent="0.25">
      <c r="S51" s="57"/>
      <c r="U51" s="67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4"/>
    </row>
    <row r="52" spans="2:53" x14ac:dyDescent="0.25">
      <c r="S52" s="57"/>
      <c r="T52" s="60"/>
      <c r="U52" s="67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4"/>
    </row>
    <row r="53" spans="2:53" x14ac:dyDescent="0.25">
      <c r="S53" s="57"/>
      <c r="U53" s="67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4"/>
    </row>
    <row r="54" spans="2:53" x14ac:dyDescent="0.25">
      <c r="S54" s="57"/>
      <c r="T54" s="60"/>
      <c r="U54" s="67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4"/>
    </row>
    <row r="55" spans="2:53" x14ac:dyDescent="0.25">
      <c r="S55" s="57"/>
      <c r="U55" s="67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4"/>
    </row>
    <row r="56" spans="2:53" ht="18.75" x14ac:dyDescent="0.3">
      <c r="B56" s="47"/>
      <c r="C56" s="48"/>
      <c r="D56" s="49"/>
      <c r="E56" s="50"/>
      <c r="F56" s="51"/>
      <c r="G56" s="47"/>
      <c r="J56" s="47"/>
      <c r="K56" s="48"/>
      <c r="L56" s="49"/>
      <c r="M56" s="50"/>
      <c r="N56" s="51"/>
      <c r="O56" s="52"/>
      <c r="P56" s="53"/>
      <c r="S56" s="57"/>
      <c r="T56" s="60"/>
      <c r="U56" s="67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4"/>
    </row>
    <row r="57" spans="2:53" x14ac:dyDescent="0.25">
      <c r="S57" s="57"/>
      <c r="T57" s="60"/>
      <c r="U57" s="67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4"/>
    </row>
    <row r="58" spans="2:53" ht="18.75" x14ac:dyDescent="0.3">
      <c r="B58" s="41"/>
      <c r="C58" s="42"/>
      <c r="D58" s="42"/>
      <c r="E58" s="42"/>
      <c r="F58" s="42"/>
      <c r="G58" s="43"/>
      <c r="J58" s="41"/>
      <c r="K58" s="42"/>
      <c r="L58" s="44"/>
      <c r="M58" s="44"/>
      <c r="N58" s="44"/>
      <c r="O58" s="44"/>
      <c r="P58" s="45"/>
      <c r="S58" s="57"/>
      <c r="T58" s="60"/>
      <c r="U58" s="67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4"/>
    </row>
    <row r="59" spans="2:53" x14ac:dyDescent="0.25">
      <c r="S59" s="58"/>
      <c r="T59" s="40"/>
      <c r="U59" s="6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65"/>
    </row>
    <row r="65" spans="20:26" x14ac:dyDescent="0.25">
      <c r="T65" s="39"/>
      <c r="U65" s="39"/>
    </row>
    <row r="74" spans="20:26" x14ac:dyDescent="0.25">
      <c r="Z74" s="39"/>
    </row>
    <row r="79" spans="20:26" x14ac:dyDescent="0.25">
      <c r="Y79" s="3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novembro25</vt:lpstr>
      <vt:lpstr>dezembro25</vt:lpstr>
      <vt:lpstr>janeiro26</vt:lpstr>
      <vt:lpstr>fevereiro26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a20674</dc:creator>
  <cp:lastModifiedBy>Eduardo Oliveira</cp:lastModifiedBy>
  <dcterms:created xsi:type="dcterms:W3CDTF">2025-11-22T16:24:42Z</dcterms:created>
  <dcterms:modified xsi:type="dcterms:W3CDTF">2026-01-06T14:04:44Z</dcterms:modified>
</cp:coreProperties>
</file>